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3a2a126e7943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適用設定" sheetId="1" r:id="R6bfa18315ddf425e"/>
    <x:sheet xmlns:r="http://schemas.openxmlformats.org/officeDocument/2006/relationships" name="共通作業基準" sheetId="2" r:id="R7785340a34b342f5"/>
    <x:sheet xmlns:r="http://schemas.openxmlformats.org/officeDocument/2006/relationships" name="判定ルール" sheetId="3" r:id="Rd52e5b68bf7d4284"/>
    <x:sheet xmlns:r="http://schemas.openxmlformats.org/officeDocument/2006/relationships" name="工数表" sheetId="4" r:id="R32df7a62fd4345ba"/>
    <x:sheet xmlns:r="http://schemas.openxmlformats.org/officeDocument/2006/relationships" name="構成と重複防止" sheetId="5" r:id="R555bed9e12644016"/>
    <x:sheet xmlns:r="http://schemas.openxmlformats.org/officeDocument/2006/relationships" name="判定集計例" sheetId="6" r:id="Rc818121de40e44c8"/>
    <x:sheet xmlns:r="http://schemas.openxmlformats.org/officeDocument/2006/relationships" name="AI出力仕様" sheetId="7" r:id="R99b73fe2da6343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3">
    <x:font>
      <x:sz val="11"/>
      <x:name val="Carlito"/>
    </x:font>
    <x:font>
      <x:sz val="11"/>
      <x:name val="Noto Sans JP"/>
    </x:font>
    <x:font>
      <x:b/>
      <x:sz val="11"/>
      <x:color rgb="FFFFFFFF"/>
      <x:name val="Noto Sans JP"/>
    </x:font>
  </x:fonts>
  <x:fills count="6">
    <x:fill>
      <x:patternFill patternType="none"/>
    </x:fill>
    <x:fill>
      <x:patternFill patternType="gray125"/>
    </x:fill>
    <x:fill>
      <x:patternFill patternType="solid">
        <x:fgColor rgb="FF263D5B"/>
      </x:patternFill>
    </x:fill>
    <x:fill>
      <x:patternFill patternType="solid">
        <x:fgColor rgb="FFF1F5F9"/>
      </x:patternFill>
    </x:fill>
    <x:fill>
      <x:patternFill patternType="solid">
        <x:fgColor rgb="FFFFF2CC"/>
      </x:patternFill>
    </x:fill>
    <x:fill>
      <x:patternFill patternType="solid">
        <x:fgColor rgb="FFDFE8F1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200" fontId="1" fillId="4" borderId="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3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6075d0d29344a6" /><Relationship Type="http://schemas.openxmlformats.org/officeDocument/2006/relationships/theme" Target="/xl/theme/theme1.xml" Id="Rc0a43ff091bc4a9f" /><Relationship Type="http://schemas.openxmlformats.org/officeDocument/2006/relationships/sharedStrings" Target="/xl/sharedStrings.xml" Id="Re9ee5ef2faef4bb0" /><Relationship Type="http://schemas.openxmlformats.org/officeDocument/2006/relationships/worksheet" Target="/xl/worksheets/sheet1.xml" Id="R6bfa18315ddf425e" /><Relationship Type="http://schemas.openxmlformats.org/officeDocument/2006/relationships/worksheet" Target="/xl/worksheets/sheet2.xml" Id="R7785340a34b342f5" /><Relationship Type="http://schemas.openxmlformats.org/officeDocument/2006/relationships/worksheet" Target="/xl/worksheets/sheet3.xml" Id="Rd52e5b68bf7d4284" /><Relationship Type="http://schemas.openxmlformats.org/officeDocument/2006/relationships/worksheet" Target="/xl/worksheets/sheet4.xml" Id="R32df7a62fd4345ba" /><Relationship Type="http://schemas.openxmlformats.org/officeDocument/2006/relationships/worksheet" Target="/xl/worksheets/sheet5.xml" Id="R555bed9e12644016" /><Relationship Type="http://schemas.openxmlformats.org/officeDocument/2006/relationships/worksheet" Target="/xl/worksheets/sheet6.xml" Id="Rc818121de40e44c8" /><Relationship Type="http://schemas.openxmlformats.org/officeDocument/2006/relationships/worksheet" Target="/xl/worksheets/sheet7.xml" Id="R99b73fe2da63439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.670000076293945" hidden="0" customWidth="1"/>
    <x:col min="2" max="2" width="22.780000686645508" hidden="0" customWidth="1"/>
    <x:col min="3" max="3" width="118.88999938964844" hidden="0" customWidth="1"/>
  </x:cols>
  <x:sheetData>
    <x:row r="1" ht="34" customHeight="1">
      <x:c r="A1" s="5" t="str">
        <x:v>設定ID</x:v>
      </x:c>
      <x:c r="B1" s="5" t="str">
        <x:v>項目</x:v>
      </x:c>
      <x:c r="C1" s="5" t="str">
        <x:v>定義・初期値</x:v>
      </x:c>
    </x:row>
    <x:row r="2" ht="88" customHeight="1">
      <x:c r="A2" s="6" t="str">
        <x:v>GEN-01</x:v>
      </x:c>
      <x:c r="B2" s="6" t="str">
        <x:v>基準名</x:v>
      </x:c>
      <x:c r="C2" s="6" t="str">
        <x:v>Playwright 汎用共通部分工数基準 v0.1／2026-10-10。特定のサイト・業務・業種に依存しない。</x:v>
      </x:c>
    </x:row>
    <x:row r="3" ht="88" customHeight="1">
      <x:c r="A3" s="3" t="str">
        <x:v>GEN-02</x:v>
      </x:c>
      <x:c r="B3" s="3" t="str">
        <x:v>検証目的</x:v>
      </x:c>
      <x:c r="C3" s="3" t="str">
        <x:v>AIが共通部分を抽出し、定義された単位と難易度に従って仮置き工数を適用・集計できるかを検証する。数値の実績根拠・精度校正は今回の検証対象外。</x:v>
      </x:c>
    </x:row>
    <x:row r="4" ht="88" customHeight="1">
      <x:c r="A4" s="6" t="str">
        <x:v>GEN-03</x:v>
      </x:c>
      <x:c r="B4" s="6" t="str">
        <x:v>適用範囲</x:v>
      </x:c>
      <x:c r="C4" s="6" t="str">
        <x:v>Web E2E自動化の基盤・再利用部品・実行運用の構築。Playwright＋TypeScript、1プロジェクト、1対象システム、1環境、デスクトップChromiumが基準。</x:v>
      </x:c>
    </x:row>
    <x:row r="5" ht="88" customHeight="1">
      <x:c r="A5" s="3" t="str">
        <x:v>GEN-04</x:v>
      </x:c>
      <x:c r="B5" s="3" t="str">
        <x:v>工数の意味</x:v>
      </x:c>
      <x:c r="C5" s="3" t="str">
        <x:v>単位は人時。各共通作業の設計・実装/設定・レビュー対応・その部品の動作確認を含む。AI推論時間、待ち時間、API料金、納期は含まない。</x:v>
      </x:c>
    </x:row>
    <x:row r="6" ht="88" customHeight="1">
      <x:c r="A6" s="6" t="str">
        <x:v>GEN-05</x:v>
      </x:c>
      <x:c r="B6" s="6" t="str">
        <x:v>個別ケースとの接続</x:v>
      </x:c>
      <x:c r="C6" s="6" t="str">
        <x:v>個別ケース工数は共通部品を利用できる前提。本書は共通部分を別に積み上げる。参照する個別ケース基準の版を案件出力に記録する。</x:v>
      </x:c>
    </x:row>
    <x:row r="7" ht="88" customHeight="1">
      <x:c r="A7" s="3" t="str">
        <x:v>GEN-06</x:v>
      </x:c>
      <x:c r="B7" s="3" t="str">
        <x:v>全種類の採用は不要</x:v>
      </x:c>
      <x:c r="C7" s="3" t="str">
        <x:v>共通作業基準は候補一覧。項目書・環境・成果物要件から必要なものだけを選ぶ。種類ごとに必ず1件を計上するルールではない。</x:v>
      </x:c>
    </x:row>
    <x:row r="8" ht="88" customHeight="1">
      <x:c r="A8" s="6" t="str">
        <x:v>GEN-07</x:v>
      </x:c>
      <x:c r="B8" s="6" t="str">
        <x:v>案件ごとの構成</x:v>
      </x:c>
      <x:c r="C8" s="6" t="str">
        <x:v>POM：採用／不採用／比較／未指定。初期値は未指定。認証方式、API利用可否、既存資産、CI、成果物を確認または仮定として記録する。</x:v>
      </x:c>
    </x:row>
    <x:row r="9" ht="88" customHeight="1">
      <x:c r="A9" s="3" t="str">
        <x:v>GEN-08</x:v>
      </x:c>
      <x:c r="B9" s="3" t="str">
        <x:v>判定と状態</x:v>
      </x:c>
      <x:c r="C9" s="3" t="str">
        <x:v>難易度はLow／Mid／High／Impossible。情報不足は難易度null・要確認。難易度とは別に、新規／改修／既存流用／要確認／対象外を管理する。</x:v>
      </x:c>
    </x:row>
    <x:row r="10" ht="88" customHeight="1">
      <x:c r="A10" s="6" t="str">
        <x:v>GEN-09</x:v>
      </x:c>
      <x:c r="B10" s="6" t="str">
        <x:v>数値の管理</x:v>
      </x:c>
      <x:c r="C10" s="6" t="str">
        <x:v>工数表の黄色セルが仮置きの下限・標準・上限。AIは値を変更せず適用する。値に根拠を創作しない。今回の基準値として扱う。</x:v>
      </x:c>
    </x:row>
    <x:row r="11" ht="88" customHeight="1">
      <x:c r="A11" s="3" t="str">
        <x:v>GEN-10</x:v>
      </x:c>
      <x:c r="B11" s="3" t="str">
        <x:v>比較案</x:v>
      </x:c>
      <x:c r="C11" s="3" t="str">
        <x:v>POMあり・なし等はscenario_idを分けて各案を独立集計する。共通の作業も各案内では必要だが、案同士の総計を合算しない。</x:v>
      </x:c>
    </x:row>
    <x:row r="12" ht="88" customHeight="1">
      <x:c r="A12" s="6" t="str">
        <x:v>GEN-11</x:v>
      </x:c>
      <x:c r="B12" s="6" t="str">
        <x:v>読み順</x:v>
      </x:c>
      <x:c r="C12" s="6" t="str">
        <x:v>適用設定→共通作業基準→判定ルール→工数表→構成と重複防止→判定集計例→AI出力仕様。</x:v>
      </x:c>
    </x:row>
    <x:row r="13" ht="88" customHeight="1">
      <x:c r="A13" s="3" t="str">
        <x:v>GEN-12</x:v>
      </x:c>
      <x:c r="B13" s="3" t="str">
        <x:v>入力と出力の関係</x:v>
      </x:c>
      <x:c r="C13" s="3" t="str">
        <x:v>このファイルは参照基準。実案件の見積もりは別ファイルに出力する。元資料のシート・セル・原文と、作業/部品IDを追跡可能にする。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0.5600004196167" hidden="0" customWidth="1"/>
    <x:col min="2" max="2" width="21.110000610351562" hidden="0" customWidth="1"/>
    <x:col min="3" max="3" width="34.439998626708984" hidden="0" customWidth="1"/>
    <x:col min="4" max="4" width="35.560001373291016" hidden="0" customWidth="1"/>
    <x:col min="5" max="5" width="38.88999938964844" hidden="0" customWidth="1"/>
    <x:col min="6" max="6" width="43.33000183105469" hidden="0" customWidth="1"/>
    <x:col min="7" max="7" width="47.779998779296875" hidden="0" customWidth="1"/>
    <x:col min="8" max="8" width="54.439998626708984" hidden="0" customWidth="1"/>
  </x:cols>
  <x:sheetData>
    <x:row r="1" ht="34" customHeight="1">
      <x:c r="A1" s="5" t="str">
        <x:v>種別ID</x:v>
      </x:c>
      <x:c r="B1" s="5" t="str">
        <x:v>種別</x:v>
      </x:c>
      <x:c r="C1" s="5" t="str">
        <x:v>計上単位</x:v>
      </x:c>
      <x:c r="D1" s="5" t="str">
        <x:v>Lowの条件</x:v>
      </x:c>
      <x:c r="E1" s="5" t="str">
        <x:v>Midの条件</x:v>
      </x:c>
      <x:c r="F1" s="5" t="str">
        <x:v>Highの条件</x:v>
      </x:c>
      <x:c r="G1" s="5" t="str">
        <x:v>この作業が担当する範囲</x:v>
      </x:c>
      <x:c r="H1" s="5" t="str">
        <x:v>別作業との境界</x:v>
      </x:c>
    </x:row>
    <x:row r="2" ht="88" customHeight="1">
      <x:c r="A2" s="6" t="str">
        <x:v>BASE</x:v>
      </x:c>
      <x:c r="B2" s="6" t="str">
        <x:v>実行基盤</x:v>
      </x:c>
      <x:c r="C2" s="6" t="str">
        <x:v>独立したテストプロジェクト1式</x:v>
      </x:c>
      <x:c r="D2" s="6" t="str">
        <x:v>単一環境・単一ブラウザーの標準構成。</x:v>
      </x:c>
      <x:c r="E2" s="6" t="str">
        <x:v>複数環境の切替・共通設定・依存関係調整。</x:v>
      </x:c>
      <x:c r="F2" s="6" t="str">
        <x:v>複数アプリ/実行方式を統一し、複雑な構成を調整。</x:v>
      </x:c>
      <x:c r="G2" s="6" t="str">
        <x:v>プロジェクト構成、Playwright設定、依存ライブラリ、ローカル実行。</x:v>
      </x:c>
      <x:c r="H2" s="6" t="str">
        <x:v>CI、レポート連携、認証部品の開発は別。対象URLの件数で増やさない。</x:v>
      </x:c>
    </x:row>
    <x:row r="3" ht="88" customHeight="1">
      <x:c r="A3" s="3" t="str">
        <x:v>AUTH</x:v>
      </x:c>
      <x:c r="B3" s="3" t="str">
        <x:v>認証・セッション</x:v>
      </x:c>
      <x:c r="C3" s="3" t="str">
        <x:v>独立した認証方式/セッション管理の1実装</x:v>
      </x:c>
      <x:c r="D3" s="3" t="str">
        <x:v>既知の単一ログインと認証状態の再利用。</x:v>
      </x:c>
      <x:c r="E3" s="3" t="str">
        <x:v>複数ロール、セッション更新/失効の管理。</x:v>
      </x:c>
      <x:c r="F3" s="3" t="str">
        <x:v>外部IdP、多段認証などの独自連携。取得手段は確保済。</x:v>
      </x:c>
      <x:c r="G3" s="3" t="str">
        <x:v>認証の実処理とセッションの作成・保存・更新。</x:v>
      </x:c>
      <x:c r="H3" s="3" t="str">
        <x:v>fixtureのライフサイクル管理、ユーザー投入処理は別。ロール数だけで満額を増やさない。</x:v>
      </x:c>
    </x:row>
    <x:row r="4" ht="88" customHeight="1">
      <x:c r="A4" s="6" t="str">
        <x:v>FIX</x:v>
      </x:c>
      <x:c r="B4" s="6" t="str">
        <x:v>fixture</x:v>
      </x:c>
      <x:c r="C4" s="6" t="str">
        <x:v>独立したライフサイクルを持つ準備・解放の1単位</x:v>
      </x:c>
      <x:c r="D4" s="6" t="str">
        <x:v>既存部品を使う単純なsetup/teardown。</x:v>
      </x:c>
      <x:c r="E4" s="6" t="str">
        <x:v>fixture依存、スコープ、複数リソースの解放。</x:v>
      </x:c>
      <x:c r="F4" s="6" t="str">
        <x:v>worker隔離、共有資源の排他、失敗時の複雑な復元。</x:v>
      </x:c>
      <x:c r="G4" s="6" t="str">
        <x:v>既存の認証/データ部品の呼出し、依存順序、スコープ、解放。</x:v>
      </x:c>
      <x:c r="H4" s="6" t="str">
        <x:v>認証本体、データ投入API、業務フロー本体の新規実装は各部品で計上。</x:v>
      </x:c>
    </x:row>
    <x:row r="5" ht="88" customHeight="1">
      <x:c r="A5" s="3" t="str">
        <x:v>DATA</x:v>
      </x:c>
      <x:c r="B5" s="3" t="str">
        <x:v>データ準備・復元</x:v>
      </x:c>
      <x:c r="C5" s="3" t="str">
        <x:v>独立したデータ構造/状態を生成・復元する1機能</x:v>
      </x:c>
      <x:c r="D5" s="3" t="str">
        <x:v>静的データや単純なレコード/ファイル生成。</x:v>
      </x:c>
      <x:c r="E5" s="3" t="str">
        <x:v>関連レコード作成、識別、削除/復元を既知の手段で実施。</x:v>
      </x:c>
      <x:c r="F5" s="3" t="str">
        <x:v>複数システムの整合、複雑な状態作成、復元機構。</x:v>
      </x:c>
      <x:c r="G5" s="3" t="str">
        <x:v>データの生成・投入・特定・クリーンアップの実処理。</x:v>
      </x:c>
      <x:c r="H5" s="3" t="str">
        <x:v>fixtureの呼出し管理は別。単なる入力値の違いは追加部品にしない。</x:v>
      </x:c>
    </x:row>
    <x:row r="6" ht="88" customHeight="1">
      <x:c r="A6" s="6" t="str">
        <x:v>PAGE</x:v>
      </x:c>
      <x:c r="B6" s="6" t="str">
        <x:v>ページPOM</x:v>
      </x:c>
      <x:c r="C6" s="6" t="str">
        <x:v>独立した責務を持つページオブジェクト1単位</x:v>
      </x:c>
      <x:c r="D6" s="6" t="str">
        <x:v>少数の単純な画面操作と状態取得。</x:v>
      </x:c>
      <x:c r="E6" s="6" t="str">
        <x:v>条件分岐、動的表示、複数操作・状態の提供。</x:v>
      </x:c>
      <x:c r="F6" s="6" t="str">
        <x:v>複雑な動的UIやフレーム構造を安定して扱う。</x:v>
      </x:c>
      <x:c r="G6" s="6" t="str">
        <x:v>ページ固有のロケーター、操作、状態取得、画面固有の基本検証。</x:v>
      </x:c>
      <x:c r="H6" s="6" t="str">
        <x:v>業務フロー、認証本体、ケース固有期待値、共通コンポーネント本体は別。URL数/クラス数とは一致しない。</x:v>
      </x:c>
    </x:row>
    <x:row r="7" ht="88" customHeight="1">
      <x:c r="A7" s="3" t="str">
        <x:v>COMP</x:v>
      </x:c>
      <x:c r="B7" s="3" t="str">
        <x:v>共通UIコンポーネント</x:v>
      </x:c>
      <x:c r="C7" s="3" t="str">
        <x:v>再利用可能なUI責務1単位</x:v>
      </x:c>
      <x:c r="D7" s="3" t="str">
        <x:v>共通ヘッダー、単純なダイアログ等。</x:v>
      </x:c>
      <x:c r="E7" s="3" t="str">
        <x:v>検索表、ページ送り、フィルター等の状態操作。</x:v>
      </x:c>
      <x:c r="F7" s="3" t="str">
        <x:v>仮想化一覧・複雑な選択や編集状態など。</x:v>
      </x:c>
      <x:c r="G7" s="3" t="str">
        <x:v>複数ページで共用するUIの操作・状態取得。</x:v>
      </x:c>
      <x:c r="H7" s="3" t="str">
        <x:v>ページPOM側は呼出し・組込みのみ。見た目が同じだけで無理に統合しない。</x:v>
      </x:c>
    </x:row>
    <x:row r="8" ht="88" customHeight="1">
      <x:c r="A8" s="6" t="str">
        <x:v>FLOW</x:v>
      </x:c>
      <x:c r="B8" s="6" t="str">
        <x:v>共通業務フロー</x:v>
      </x:c>
      <x:c r="C8" s="6" t="str">
        <x:v>再利用する業務目的1単位</x:v>
      </x:c>
      <x:c r="D8" s="6" t="str">
        <x:v>既存部品を順に呼ぶ短い業務操作。</x:v>
      </x:c>
      <x:c r="E8" s="6" t="str">
        <x:v>複数ページの組合せ、条件分岐・ロール切替。</x:v>
      </x:c>
      <x:c r="F8" s="6" t="str">
        <x:v>複雑な状態遷移、複数ユーザー/システムの協調。</x:v>
      </x:c>
      <x:c r="G8" s="6" t="str">
        <x:v>ページ・認証・データ部品を組み合わせる業務処理。</x:v>
      </x:c>
      <x:c r="H8" s="6" t="str">
        <x:v>下位部品の実装は別。業務フローと同じ操作列をケースにも二重実装・計上しない。</x:v>
      </x:c>
    </x:row>
    <x:row r="9" ht="88" customHeight="1">
      <x:c r="A9" s="3" t="str">
        <x:v>UTIL</x:v>
      </x:c>
      <x:c r="B9" s="3" t="str">
        <x:v>共通補助処理</x:v>
      </x:c>
      <x:c r="C9" s="3" t="str">
        <x:v>単一責務の再利用可能な補助機能1単位</x:v>
      </x:c>
      <x:c r="D9" s="3" t="str">
        <x:v>値整形、簡単な比較、既存ライブラリの薄いラッパー。</x:v>
      </x:c>
      <x:c r="E9" s="3" t="str">
        <x:v>構造化ファイル解析や複数データの照合。</x:v>
      </x:c>
      <x:c r="F9" s="3" t="str">
        <x:v>独自解析、画像/帳票など複雑な判定処理。</x:v>
      </x:c>
      <x:c r="G9" s="3" t="str">
        <x:v>共通の変換、解析、比較処理。</x:v>
      </x:c>
      <x:c r="H9" s="3" t="str">
        <x:v>データ作成に属するファイル生成はDATAと重ねない。標準機能を呼ぶだけなら独立部品化は不要。</x:v>
      </x:c>
    </x:row>
    <x:row r="10" ht="88" customHeight="1">
      <x:c r="A10" s="6" t="str">
        <x:v>EXT</x:v>
      </x:c>
      <x:c r="B10" s="6" t="str">
        <x:v>外部システム接続</x:v>
      </x:c>
      <x:c r="C10" s="6" t="str">
        <x:v>独立した接続契約/認証方式のアダプター1単位</x:v>
      </x:c>
      <x:c r="D10" s="6" t="str">
        <x:v>既知のAPIによる単純な取得・更新。</x:v>
      </x:c>
      <x:c r="E10" s="6" t="str">
        <x:v>認証、ポーリング、ページング、再試行を扱う。</x:v>
      </x:c>
      <x:c r="F10" s="6" t="str">
        <x:v>複数段のプロトコル、独自認証/同期が必要。実現手段は確認済。</x:v>
      </x:c>
      <x:c r="G10" s="6" t="str">
        <x:v>外部API/サービス接続、エラー処理と通信契約。</x:v>
      </x:c>
      <x:c r="H10" s="6" t="str">
        <x:v>業務上の期待値はケース/UTIL、データ生成内容はDATA、認証本体はAUTHと責任を分ける。</x:v>
      </x:c>
    </x:row>
    <x:row r="11" ht="88" customHeight="1">
      <x:c r="A11" s="3" t="str">
        <x:v>RUN</x:v>
      </x:c>
      <x:c r="B11" s="3" t="str">
        <x:v>全体実行・安定化</x:v>
      </x:c>
      <x:c r="C11" s="3" t="str">
        <x:v>合意した実行構成と受入確認1式</x:v>
      </x:c>
      <x:c r="D11" s="3" t="str">
        <x:v>単一環境の一連実行と全体の調整。</x:v>
      </x:c>
      <x:c r="E11" s="3" t="str">
        <x:v>並列実行、データ衝突、環境差分の調整。</x:v>
      </x:c>
      <x:c r="F11" s="3" t="str">
        <x:v>分散実行や複数システム依存の横断的な安定化。</x:v>
      </x:c>
      <x:c r="G11" s="3" t="str">
        <x:v>ケース横断の実行順・並列性・共有状態の検証と調整。</x:v>
      </x:c>
      <x:c r="H11" s="3" t="str">
        <x:v>個別ケースや部品の動作確認はそれぞれのレンジに含む。実行本数が大きい場合は個別見積。</x:v>
      </x:c>
    </x:row>
    <x:row r="12" ht="88" customHeight="1">
      <x:c r="A12" s="6" t="str">
        <x:v>CI</x:v>
      </x:c>
      <x:c r="B12" s="6" t="str">
        <x:v>CI連携</x:v>
      </x:c>
      <x:c r="C12" s="6" t="str">
        <x:v>独立したパイプライン/実行契約1単位</x:v>
      </x:c>
      <x:c r="D12" s="6" t="str">
        <x:v>既知のCIで標準的な実行・成果物保存。</x:v>
      </x:c>
      <x:c r="E12" s="6" t="str">
        <x:v>複数ジョブ、スケジュール、シークレット、環境設定。</x:v>
      </x:c>
      <x:c r="F12" s="6" t="str">
        <x:v>複雑なrunner/ネットワーク/分散実行の統合。</x:v>
      </x:c>
      <x:c r="G12" s="6" t="str">
        <x:v>CIジョブ設定、実行トリガー、資格情報の参照、成果物受渡し。</x:v>
      </x:c>
      <x:c r="H12" s="6" t="str">
        <x:v>アプリのインフラ構築や全体安定化、独自レポート整形は別。ブラウザー数だけで1式ずつ計上しない。</x:v>
      </x:c>
    </x:row>
    <x:row r="13" ht="88" customHeight="1">
      <x:c r="A13" s="3" t="str">
        <x:v>REPORT</x:v>
      </x:c>
      <x:c r="B13" s="3" t="str">
        <x:v>結果・証跡管理</x:v>
      </x:c>
      <x:c r="C13" s="3" t="str">
        <x:v>独立した出力形式/配信先連携1単位</x:v>
      </x:c>
      <x:c r="D13" s="3" t="str">
        <x:v>標準レポート、スクリーンショット、トレースの設定。</x:v>
      </x:c>
      <x:c r="E13" s="3" t="str">
        <x:v>結果整形、履歴、通知、保存規約への対応。</x:v>
      </x:c>
      <x:c r="F13" s="3" t="str">
        <x:v>独自集計や複数サービスへの結果連携。</x:v>
      </x:c>
      <x:c r="G13" s="3" t="str">
        <x:v>レポート形式、証跡取得方針、整形/配信処理。</x:v>
      </x:c>
      <x:c r="H13" s="3" t="str">
        <x:v>CIのアップロード設定と同じ処理を重ねない。標準設定に含めた場合はBASEへ統合可能。</x:v>
      </x:c>
    </x:row>
    <x:row r="14" ht="88" customHeight="1">
      <x:c r="A14" s="6" t="str">
        <x:v>DOC</x:v>
      </x:c>
      <x:c r="B14" s="6" t="str">
        <x:v>運用・引継ぎ</x:v>
      </x:c>
      <x:c r="C14" s="6" t="str">
        <x:v>合意した利用者向け手順一式</x:v>
      </x:c>
      <x:c r="D14" s="6" t="str">
        <x:v>起動手順、入力値、結果の見方を記載。</x:v>
      </x:c>
      <x:c r="E14" s="6" t="str">
        <x:v>環境切替、データ管理、障害対応を含む。</x:v>
      </x:c>
      <x:c r="F14" s="6" t="str">
        <x:v>複数チームの運用、復旧、保守分担まで整備。</x:v>
      </x:c>
      <x:c r="G14" s="6" t="str">
        <x:v>全体の実行・運用・保守手順と引継ぎ確認。</x:v>
      </x:c>
      <x:c r="H14" s="6" t="str">
        <x:v>ソース内の説明や部品単体のREADMEは各部品工数と境界を決める。</x:v>
      </x:c>
    </x:row>
    <x:row r="15" ht="88" customHeight="1">
      <x:c r="A15" s="3" t="str">
        <x:v>POC</x:v>
      </x:c>
      <x:c r="B15" s="3" t="str">
        <x:v>共通技術調査</x:v>
      </x:c>
      <x:c r="C15" s="3" t="str">
        <x:v>検証する技術的な問い1単位</x:v>
      </x:c>
      <x:c r="D15" s="3" t="str">
        <x:v>方法が既知で小さな動作確認を行う。</x:v>
      </x:c>
      <x:c r="E15" s="3" t="str">
        <x:v>複数方式の比較と制約の確認。</x:v>
      </x:c>
      <x:c r="F15" s="3" t="str">
        <x:v>不確実性が高く、専用試作や外部調整が必要。</x:v>
      </x:c>
      <x:c r="G15" s="3" t="str">
        <x:v>調査計画、試作、結果と実現可否の記録。</x:v>
      </x:c>
      <x:c r="H15" s="3" t="str">
        <x:v>本実装の完了を保証しない。時間枠として計上し、成果物が流用可能な場合は本実装との差分を明示。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.109999656677246" hidden="0" customWidth="1"/>
    <x:col min="2" max="2" width="23.329999923706055" hidden="0" customWidth="1"/>
    <x:col min="3" max="3" width="123.33000183105469" hidden="0" customWidth="1"/>
  </x:cols>
  <x:sheetData>
    <x:row r="1" ht="34" customHeight="1">
      <x:c r="A1" s="5" t="str">
        <x:v>規則ID</x:v>
      </x:c>
      <x:c r="B1" s="5" t="str">
        <x:v>条件</x:v>
      </x:c>
      <x:c r="C1" s="5" t="str">
        <x:v>処理・判定</x:v>
      </x:c>
    </x:row>
    <x:row r="2" ht="88" customHeight="1">
      <x:c r="A2" s="6" t="str">
        <x:v>COM-01</x:v>
      </x:c>
      <x:c r="B2" s="6" t="str">
        <x:v>共通部分の抽出</x:v>
      </x:c>
      <x:c r="C2" s="6" t="str">
        <x:v>全テストを横断し、同じ責務・準備・操作・判定を抽出する。実装対象と利用ケースの対応を作る。基盤など利用回数1回のものも必要なら対象。</x:v>
      </x:c>
    </x:row>
    <x:row r="3" ht="88" customHeight="1">
      <x:c r="A3" s="3" t="str">
        <x:v>COM-02</x:v>
      </x:c>
      <x:c r="B3" s="3" t="str">
        <x:v>計上単位の決定</x:v>
      </x:c>
      <x:c r="C3" s="3" t="str">
        <x:v>共通作業基準の単位で作業IDを付ける。ケース数・URL数・メソッド数・ロール数から自動的に件数を決めない。</x:v>
      </x:c>
    </x:row>
    <x:row r="4" ht="88" customHeight="1">
      <x:c r="A4" s="6" t="str">
        <x:v>COM-03</x:v>
      </x:c>
      <x:c r="B4" s="6" t="str">
        <x:v>実装の所有者</x:v>
      </x:c>
      <x:c r="C4" s="6" t="str">
        <x:v>同じ実処理の所有作業は1つだけ。依存部品側に実装を計上し、呼出し側は組込み・状態管理のみ計上する。依存関係を明記。</x:v>
      </x:c>
    </x:row>
    <x:row r="5" ht="88" customHeight="1">
      <x:c r="A5" s="3" t="str">
        <x:v>COM-04</x:v>
      </x:c>
      <x:c r="B5" s="3" t="str">
        <x:v>難易度の選択</x:v>
      </x:c>
      <x:c r="C5" s="3" t="str">
        <x:v>作業の種類ごとのLow/Mid/High条件のうち、当てはまる最も高いものを選ぶ。仕様に書かれていないHigh要因を想像して加算しない。</x:v>
      </x:c>
    </x:row>
    <x:row r="6" ht="88" customHeight="1">
      <x:c r="A6" s="6" t="str">
        <x:v>COM-05</x:v>
      </x:c>
      <x:c r="B6" s="6" t="str">
        <x:v>複合的な難しさ</x:v>
      </x:c>
      <x:c r="C6" s="6" t="str">
        <x:v>複数のMid要因があっても自動昇格しない。組合せがその種別のHigh条件に該当する場合は理由を記録してHigh。基準外は個別見積とする。</x:v>
      </x:c>
    </x:row>
    <x:row r="7" ht="88" customHeight="1">
      <x:c r="A7" s="3" t="str">
        <x:v>COM-06</x:v>
      </x:c>
      <x:c r="B7" s="3" t="str">
        <x:v>新規・改修</x:v>
      </x:c>
      <x:c r="C7" s="3" t="str">
        <x:v>新規は1作業単位のレンジ。改修は変更する責務を定義し、その差分を同じ種類別基準で分類する。根拠のない一律割引率を使わない。</x:v>
      </x:c>
    </x:row>
    <x:row r="8" ht="88" customHeight="1">
      <x:c r="A8" s="6" t="str">
        <x:v>COM-07</x:v>
      </x:c>
      <x:c r="B8" s="6" t="str">
        <x:v>既存流用</x:v>
      </x:c>
      <x:c r="C8" s="6" t="str">
        <x:v>既存部品の新規実装工数は0。適合性確認・組込み・実行確認は別作業として必要に応じて計上。既存資産の存在・適合性が未確認なら流用済にしない。</x:v>
      </x:c>
    </x:row>
    <x:row r="9" ht="88" customHeight="1">
      <x:c r="A9" s="3" t="str">
        <x:v>COM-08</x:v>
      </x:c>
      <x:c r="B9" s="3" t="str">
        <x:v>情報不足</x:v>
      </x:c>
      <x:c r="C9" s="3" t="str">
        <x:v>手段・仕様・既存資産が分からず分類できない場合、難易度はnull、状態は要確認、工数はnull。0またはImpossibleに変換しない。</x:v>
      </x:c>
    </x:row>
    <x:row r="10" ht="88" customHeight="1">
      <x:c r="A10" s="6" t="str">
        <x:v>COM-09</x:v>
      </x:c>
      <x:c r="B10" s="6" t="str">
        <x:v>条件付き</x:v>
      </x:c>
      <x:c r="C10" s="6" t="str">
        <x:v>具体的な仮定により実装方法が定まる場合のみLow/Mid/Highを付けてレンジを出せる。仮定・影響・再見積条件を記録する。</x:v>
      </x:c>
    </x:row>
    <x:row r="11" ht="88" customHeight="1">
      <x:c r="A11" s="3" t="str">
        <x:v>COM-10</x:v>
      </x:c>
      <x:c r="B11" s="3" t="str">
        <x:v>Impossible</x:v>
      </x:c>
      <x:c r="C11" s="3" t="str">
        <x:v>合意した手段・権限・環境で実現不可と確認済の場合。理由、根拠、解消条件、代替案を必須とし工数はnull。種類別の工数表にはImpossibleの0行を作らない。</x:v>
      </x:c>
    </x:row>
    <x:row r="12" ht="88" customHeight="1">
      <x:c r="A12" s="6" t="str">
        <x:v>COM-11</x:v>
      </x:c>
      <x:c r="B12" s="6" t="str">
        <x:v>対象外・別手段</x:v>
      </x:c>
      <x:c r="C12" s="6" t="str">
        <x:v>POM不採用時のPOMなどは対象外でありImpossibleではない。インフラ構築など本基準の外の作業は別見積・未算定とする。</x:v>
      </x:c>
    </x:row>
    <x:row r="13" ht="88" customHeight="1">
      <x:c r="A13" s="3" t="str">
        <x:v>COM-12</x:v>
      </x:c>
      <x:c r="B13" s="3" t="str">
        <x:v>レンジの適用</x:v>
      </x:c>
      <x:c r="C13" s="3" t="str">
        <x:v>工数表の種別ID＋難易度のキーで下限/標準/上限を取得し、数量を掛ける。単価にAI独自の根拠を創作しない。数量が複数なら構成要素IDを列挙。</x:v>
      </x:c>
    </x:row>
    <x:row r="14" ht="88" customHeight="1">
      <x:c r="A14" s="6" t="str">
        <x:v>COM-13</x:v>
      </x:c>
      <x:c r="B14" s="6" t="str">
        <x:v>集計</x:v>
      </x:c>
      <x:c r="C14" s="6" t="str">
        <x:v>シナリオごとに作業IDを一意にし、下限/標準/上限を別々に合算。要確認・Impossible・対象外・条件付き件数を併記する。</x:v>
      </x:c>
    </x:row>
    <x:row r="15" ht="88" customHeight="1">
      <x:c r="A15" s="3" t="str">
        <x:v>COM-14</x:v>
      </x:c>
      <x:c r="B15" s="3" t="str">
        <x:v>個別ケース基準との使分け</x:v>
      </x:c>
      <x:c r="C15" s="3" t="str">
        <x:v>個別ケースは個別基準の5軸ルール、本書の共通作業は種類別の条件で判定する。同じHighでも参照する工数表が異なるため混用しない。</x:v>
      </x:c>
    </x:row>
    <x:row r="16" ht="88" customHeight="1">
      <x:c r="A16" s="6" t="str">
        <x:v>COM-15</x:v>
      </x:c>
      <x:c r="B16" s="6" t="str">
        <x:v>全体の網羅性</x:v>
      </x:c>
      <x:c r="C16" s="6" t="str">
        <x:v>抽出した候補を、新規/改修/既存流用/要確認/対象外/Impossibleのいずれかへ対応付ける。統合した候補は統合先IDを残す。</x:v>
      </x:c>
    </x:row>
    <x:row r="17" ht="88" customHeight="1">
      <x:c r="A17" s="3" t="str">
        <x:v>COM-16</x:v>
      </x:c>
      <x:c r="B17" s="3" t="str">
        <x:v>レンジを超える作業</x:v>
      </x:c>
      <x:c r="C17" s="3" t="str">
        <x:v>種類別Highの上限を超える根拠がある場合、上限で打ち切らず個別見積・未算定として分ける。仮置き表にない値を無断生成しない。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.219999313354492" hidden="0" customWidth="1"/>
    <x:col min="2" max="2" width="10.5600004196167" hidden="0" customWidth="1"/>
    <x:col min="3" max="3" width="21.110000610351562" hidden="0" customWidth="1"/>
    <x:col min="4" max="4" width="10.5600004196167" hidden="0" customWidth="1"/>
    <x:col min="5" max="5" width="34.439998626708984" hidden="0" customWidth="1"/>
    <x:col min="6" max="6" width="12.779999732971191" hidden="0" customWidth="1"/>
    <x:col min="7" max="7" width="12.779999732971191" hidden="0" customWidth="1"/>
    <x:col min="8" max="8" width="12.779999732971191" hidden="0" customWidth="1"/>
    <x:col min="9" max="9" width="37.779998779296875" hidden="0" customWidth="1"/>
    <x:col min="10" max="10" width="16.670000076293945" hidden="0" customWidth="1"/>
    <x:col min="11" max="11" width="13.329999923706055" hidden="0" customWidth="1"/>
  </x:cols>
  <x:sheetData>
    <x:row r="1" ht="34" customHeight="1">
      <x:c r="A1" s="5" t="str">
        <x:v>参照キー</x:v>
      </x:c>
      <x:c r="B1" s="5" t="str">
        <x:v>種別ID</x:v>
      </x:c>
      <x:c r="C1" s="5" t="str">
        <x:v>種別</x:v>
      </x:c>
      <x:c r="D1" s="5" t="str">
        <x:v>難易度</x:v>
      </x:c>
      <x:c r="E1" s="5" t="str">
        <x:v>単位</x:v>
      </x:c>
      <x:c r="F1" s="5" t="str">
        <x:v>下限人時</x:v>
      </x:c>
      <x:c r="G1" s="5" t="str">
        <x:v>標準人時</x:v>
      </x:c>
      <x:c r="H1" s="5" t="str">
        <x:v>上限人時</x:v>
      </x:c>
      <x:c r="I1" s="5" t="str">
        <x:v>含む作業</x:v>
      </x:c>
      <x:c r="J1" s="5" t="str">
        <x:v>値の区分</x:v>
      </x:c>
      <x:c r="K1" s="14" t="str">
        <x:v>設定検証</x:v>
      </x:c>
    </x:row>
    <x:row r="2" ht="88" customHeight="1">
      <x:c r="A2" s="6" t="str">
        <x:v>BASE|Low</x:v>
      </x:c>
      <x:c r="B2" s="6" t="str">
        <x:v>BASE</x:v>
      </x:c>
      <x:c r="C2" s="6" t="str">
        <x:v>実行基盤</x:v>
      </x:c>
      <x:c r="D2" s="6" t="str">
        <x:v>Low</x:v>
      </x:c>
      <x:c r="E2" s="6" t="str">
        <x:v>独立したテストプロジェクト1式</x:v>
      </x:c>
      <x:c r="F2" s="8" t="n">
        <x:v>2</x:v>
      </x:c>
      <x:c r="G2" s="8" t="n">
        <x:v>4</x:v>
      </x:c>
      <x:c r="H2" s="8" t="n">
        <x:v>6</x:v>
      </x:c>
      <x:c r="I2" s="6" t="str">
        <x:v>設計・実装/設定・レビュー・部品確認込み</x:v>
      </x:c>
      <x:c r="J2" s="6" t="str">
        <x:v>仮置き設定値</x:v>
      </x:c>
      <x:c r="K2" s="15" t="str">
        <x:f>IF(AND(COUNT(F2:H2)=3,F2&gt;0,F2&lt;=G2,G2&lt;=H2),"OK","要修正")</x:f>
        <x:v>OK</x:v>
      </x:c>
    </x:row>
    <x:row r="3" ht="88" customHeight="1">
      <x:c r="A3" s="3" t="str">
        <x:v>BASE|Mid</x:v>
      </x:c>
      <x:c r="B3" s="3" t="str">
        <x:v>BASE</x:v>
      </x:c>
      <x:c r="C3" s="3" t="str">
        <x:v>実行基盤</x:v>
      </x:c>
      <x:c r="D3" s="3" t="str">
        <x:v>Mid</x:v>
      </x:c>
      <x:c r="E3" s="3" t="str">
        <x:v>独立したテストプロジェクト1式</x:v>
      </x:c>
      <x:c r="F3" s="8" t="n">
        <x:v>6</x:v>
      </x:c>
      <x:c r="G3" s="8" t="n">
        <x:v>10</x:v>
      </x:c>
      <x:c r="H3" s="8" t="n">
        <x:v>16</x:v>
      </x:c>
      <x:c r="I3" s="3" t="str">
        <x:v>設計・実装/設定・レビュー・部品確認込み</x:v>
      </x:c>
      <x:c r="J3" s="3" t="str">
        <x:v>仮置き設定値</x:v>
      </x:c>
      <x:c r="K3" s="15" t="str">
        <x:f>IF(AND(COUNT(F3:H3)=3,F3&gt;0,F3&lt;=G3,G3&lt;=H3),"OK","要修正")</x:f>
        <x:v>OK</x:v>
      </x:c>
    </x:row>
    <x:row r="4" ht="88" customHeight="1">
      <x:c r="A4" s="6" t="str">
        <x:v>BASE|High</x:v>
      </x:c>
      <x:c r="B4" s="6" t="str">
        <x:v>BASE</x:v>
      </x:c>
      <x:c r="C4" s="6" t="str">
        <x:v>実行基盤</x:v>
      </x:c>
      <x:c r="D4" s="6" t="str">
        <x:v>High</x:v>
      </x:c>
      <x:c r="E4" s="6" t="str">
        <x:v>独立したテストプロジェクト1式</x:v>
      </x:c>
      <x:c r="F4" s="8" t="n">
        <x:v>16</x:v>
      </x:c>
      <x:c r="G4" s="8" t="n">
        <x:v>24</x:v>
      </x:c>
      <x:c r="H4" s="8" t="n">
        <x:v>40</x:v>
      </x:c>
      <x:c r="I4" s="6" t="str">
        <x:v>設計・実装/設定・レビュー・部品確認込み</x:v>
      </x:c>
      <x:c r="J4" s="6" t="str">
        <x:v>仮置き設定値</x:v>
      </x:c>
      <x:c r="K4" s="15" t="str">
        <x:f>IF(AND(COUNT(F4:H4)=3,F4&gt;0,F4&lt;=G4,G4&lt;=H4),"OK","要修正")</x:f>
        <x:v>OK</x:v>
      </x:c>
    </x:row>
    <x:row r="5" ht="88" customHeight="1">
      <x:c r="A5" s="3" t="str">
        <x:v>AUTH|Low</x:v>
      </x:c>
      <x:c r="B5" s="3" t="str">
        <x:v>AUTH</x:v>
      </x:c>
      <x:c r="C5" s="3" t="str">
        <x:v>認証・セッション</x:v>
      </x:c>
      <x:c r="D5" s="3" t="str">
        <x:v>Low</x:v>
      </x:c>
      <x:c r="E5" s="3" t="str">
        <x:v>独立した認証方式/セッション管理の1実装</x:v>
      </x:c>
      <x:c r="F5" s="8" t="n">
        <x:v>2</x:v>
      </x:c>
      <x:c r="G5" s="8" t="n">
        <x:v>3</x:v>
      </x:c>
      <x:c r="H5" s="8" t="n">
        <x:v>5</x:v>
      </x:c>
      <x:c r="I5" s="3" t="str">
        <x:v>設計・実装/設定・レビュー・部品確認込み</x:v>
      </x:c>
      <x:c r="J5" s="3" t="str">
        <x:v>仮置き設定値</x:v>
      </x:c>
      <x:c r="K5" s="15" t="str">
        <x:f>IF(AND(COUNT(F5:H5)=3,F5&gt;0,F5&lt;=G5,G5&lt;=H5),"OK","要修正")</x:f>
        <x:v>OK</x:v>
      </x:c>
    </x:row>
    <x:row r="6" ht="88" customHeight="1">
      <x:c r="A6" s="6" t="str">
        <x:v>AUTH|Mid</x:v>
      </x:c>
      <x:c r="B6" s="6" t="str">
        <x:v>AUTH</x:v>
      </x:c>
      <x:c r="C6" s="6" t="str">
        <x:v>認証・セッション</x:v>
      </x:c>
      <x:c r="D6" s="6" t="str">
        <x:v>Mid</x:v>
      </x:c>
      <x:c r="E6" s="6" t="str">
        <x:v>独立した認証方式/セッション管理の1実装</x:v>
      </x:c>
      <x:c r="F6" s="8" t="n">
        <x:v>5</x:v>
      </x:c>
      <x:c r="G6" s="8" t="n">
        <x:v>8</x:v>
      </x:c>
      <x:c r="H6" s="8" t="n">
        <x:v>12</x:v>
      </x:c>
      <x:c r="I6" s="6" t="str">
        <x:v>設計・実装/設定・レビュー・部品確認込み</x:v>
      </x:c>
      <x:c r="J6" s="6" t="str">
        <x:v>仮置き設定値</x:v>
      </x:c>
      <x:c r="K6" s="15" t="str">
        <x:f>IF(AND(COUNT(F6:H6)=3,F6&gt;0,F6&lt;=G6,G6&lt;=H6),"OK","要修正")</x:f>
        <x:v>OK</x:v>
      </x:c>
    </x:row>
    <x:row r="7" ht="88" customHeight="1">
      <x:c r="A7" s="3" t="str">
        <x:v>AUTH|High</x:v>
      </x:c>
      <x:c r="B7" s="3" t="str">
        <x:v>AUTH</x:v>
      </x:c>
      <x:c r="C7" s="3" t="str">
        <x:v>認証・セッション</x:v>
      </x:c>
      <x:c r="D7" s="3" t="str">
        <x:v>High</x:v>
      </x:c>
      <x:c r="E7" s="3" t="str">
        <x:v>独立した認証方式/セッション管理の1実装</x:v>
      </x:c>
      <x:c r="F7" s="8" t="n">
        <x:v>12</x:v>
      </x:c>
      <x:c r="G7" s="8" t="n">
        <x:v>20</x:v>
      </x:c>
      <x:c r="H7" s="8" t="n">
        <x:v>32</x:v>
      </x:c>
      <x:c r="I7" s="3" t="str">
        <x:v>設計・実装/設定・レビュー・部品確認込み</x:v>
      </x:c>
      <x:c r="J7" s="3" t="str">
        <x:v>仮置き設定値</x:v>
      </x:c>
      <x:c r="K7" s="15" t="str">
        <x:f>IF(AND(COUNT(F7:H7)=3,F7&gt;0,F7&lt;=G7,G7&lt;=H7),"OK","要修正")</x:f>
        <x:v>OK</x:v>
      </x:c>
    </x:row>
    <x:row r="8" ht="88" customHeight="1">
      <x:c r="A8" s="6" t="str">
        <x:v>FIX|Low</x:v>
      </x:c>
      <x:c r="B8" s="6" t="str">
        <x:v>FIX</x:v>
      </x:c>
      <x:c r="C8" s="6" t="str">
        <x:v>fixture</x:v>
      </x:c>
      <x:c r="D8" s="6" t="str">
        <x:v>Low</x:v>
      </x:c>
      <x:c r="E8" s="6" t="str">
        <x:v>独立したライフサイクルを持つ準備・解放の1単位</x:v>
      </x:c>
      <x:c r="F8" s="8" t="n">
        <x:v>1</x:v>
      </x:c>
      <x:c r="G8" s="8" t="n">
        <x:v>2</x:v>
      </x:c>
      <x:c r="H8" s="8" t="n">
        <x:v>3</x:v>
      </x:c>
      <x:c r="I8" s="6" t="str">
        <x:v>設計・実装/設定・レビュー・部品確認込み</x:v>
      </x:c>
      <x:c r="J8" s="6" t="str">
        <x:v>仮置き設定値</x:v>
      </x:c>
      <x:c r="K8" s="15" t="str">
        <x:f>IF(AND(COUNT(F8:H8)=3,F8&gt;0,F8&lt;=G8,G8&lt;=H8),"OK","要修正")</x:f>
        <x:v>OK</x:v>
      </x:c>
    </x:row>
    <x:row r="9" ht="88" customHeight="1">
      <x:c r="A9" s="3" t="str">
        <x:v>FIX|Mid</x:v>
      </x:c>
      <x:c r="B9" s="3" t="str">
        <x:v>FIX</x:v>
      </x:c>
      <x:c r="C9" s="3" t="str">
        <x:v>fixture</x:v>
      </x:c>
      <x:c r="D9" s="3" t="str">
        <x:v>Mid</x:v>
      </x:c>
      <x:c r="E9" s="3" t="str">
        <x:v>独立したライフサイクルを持つ準備・解放の1単位</x:v>
      </x:c>
      <x:c r="F9" s="8" t="n">
        <x:v>3</x:v>
      </x:c>
      <x:c r="G9" s="8" t="n">
        <x:v>5</x:v>
      </x:c>
      <x:c r="H9" s="8" t="n">
        <x:v>8</x:v>
      </x:c>
      <x:c r="I9" s="3" t="str">
        <x:v>設計・実装/設定・レビュー・部品確認込み</x:v>
      </x:c>
      <x:c r="J9" s="3" t="str">
        <x:v>仮置き設定値</x:v>
      </x:c>
      <x:c r="K9" s="15" t="str">
        <x:f>IF(AND(COUNT(F9:H9)=3,F9&gt;0,F9&lt;=G9,G9&lt;=H9),"OK","要修正")</x:f>
        <x:v>OK</x:v>
      </x:c>
    </x:row>
    <x:row r="10" ht="88" customHeight="1">
      <x:c r="A10" s="6" t="str">
        <x:v>FIX|High</x:v>
      </x:c>
      <x:c r="B10" s="6" t="str">
        <x:v>FIX</x:v>
      </x:c>
      <x:c r="C10" s="6" t="str">
        <x:v>fixture</x:v>
      </x:c>
      <x:c r="D10" s="6" t="str">
        <x:v>High</x:v>
      </x:c>
      <x:c r="E10" s="6" t="str">
        <x:v>独立したライフサイクルを持つ準備・解放の1単位</x:v>
      </x:c>
      <x:c r="F10" s="8" t="n">
        <x:v>8</x:v>
      </x:c>
      <x:c r="G10" s="8" t="n">
        <x:v>12</x:v>
      </x:c>
      <x:c r="H10" s="8" t="n">
        <x:v>20</x:v>
      </x:c>
      <x:c r="I10" s="6" t="str">
        <x:v>設計・実装/設定・レビュー・部品確認込み</x:v>
      </x:c>
      <x:c r="J10" s="6" t="str">
        <x:v>仮置き設定値</x:v>
      </x:c>
      <x:c r="K10" s="15" t="str">
        <x:f>IF(AND(COUNT(F10:H10)=3,F10&gt;0,F10&lt;=G10,G10&lt;=H10),"OK","要修正")</x:f>
        <x:v>OK</x:v>
      </x:c>
    </x:row>
    <x:row r="11" ht="88" customHeight="1">
      <x:c r="A11" s="3" t="str">
        <x:v>DATA|Low</x:v>
      </x:c>
      <x:c r="B11" s="3" t="str">
        <x:v>DATA</x:v>
      </x:c>
      <x:c r="C11" s="3" t="str">
        <x:v>データ準備・復元</x:v>
      </x:c>
      <x:c r="D11" s="3" t="str">
        <x:v>Low</x:v>
      </x:c>
      <x:c r="E11" s="3" t="str">
        <x:v>独立したデータ構造/状態を生成・復元する1機能</x:v>
      </x:c>
      <x:c r="F11" s="8" t="n">
        <x:v>1</x:v>
      </x:c>
      <x:c r="G11" s="8" t="n">
        <x:v>2</x:v>
      </x:c>
      <x:c r="H11" s="8" t="n">
        <x:v>4</x:v>
      </x:c>
      <x:c r="I11" s="3" t="str">
        <x:v>設計・実装/設定・レビュー・部品確認込み</x:v>
      </x:c>
      <x:c r="J11" s="3" t="str">
        <x:v>仮置き設定値</x:v>
      </x:c>
      <x:c r="K11" s="15" t="str">
        <x:f>IF(AND(COUNT(F11:H11)=3,F11&gt;0,F11&lt;=G11,G11&lt;=H11),"OK","要修正")</x:f>
        <x:v>OK</x:v>
      </x:c>
    </x:row>
    <x:row r="12" ht="88" customHeight="1">
      <x:c r="A12" s="6" t="str">
        <x:v>DATA|Mid</x:v>
      </x:c>
      <x:c r="B12" s="6" t="str">
        <x:v>DATA</x:v>
      </x:c>
      <x:c r="C12" s="6" t="str">
        <x:v>データ準備・復元</x:v>
      </x:c>
      <x:c r="D12" s="6" t="str">
        <x:v>Mid</x:v>
      </x:c>
      <x:c r="E12" s="6" t="str">
        <x:v>独立したデータ構造/状態を生成・復元する1機能</x:v>
      </x:c>
      <x:c r="F12" s="8" t="n">
        <x:v>4</x:v>
      </x:c>
      <x:c r="G12" s="8" t="n">
        <x:v>7</x:v>
      </x:c>
      <x:c r="H12" s="8" t="n">
        <x:v>12</x:v>
      </x:c>
      <x:c r="I12" s="6" t="str">
        <x:v>設計・実装/設定・レビュー・部品確認込み</x:v>
      </x:c>
      <x:c r="J12" s="6" t="str">
        <x:v>仮置き設定値</x:v>
      </x:c>
      <x:c r="K12" s="15" t="str">
        <x:f>IF(AND(COUNT(F12:H12)=3,F12&gt;0,F12&lt;=G12,G12&lt;=H12),"OK","要修正")</x:f>
        <x:v>OK</x:v>
      </x:c>
    </x:row>
    <x:row r="13" ht="88" customHeight="1">
      <x:c r="A13" s="3" t="str">
        <x:v>DATA|High</x:v>
      </x:c>
      <x:c r="B13" s="3" t="str">
        <x:v>DATA</x:v>
      </x:c>
      <x:c r="C13" s="3" t="str">
        <x:v>データ準備・復元</x:v>
      </x:c>
      <x:c r="D13" s="3" t="str">
        <x:v>High</x:v>
      </x:c>
      <x:c r="E13" s="3" t="str">
        <x:v>独立したデータ構造/状態を生成・復元する1機能</x:v>
      </x:c>
      <x:c r="F13" s="8" t="n">
        <x:v>12</x:v>
      </x:c>
      <x:c r="G13" s="8" t="n">
        <x:v>20</x:v>
      </x:c>
      <x:c r="H13" s="8" t="n">
        <x:v>36</x:v>
      </x:c>
      <x:c r="I13" s="3" t="str">
        <x:v>設計・実装/設定・レビュー・部品確認込み</x:v>
      </x:c>
      <x:c r="J13" s="3" t="str">
        <x:v>仮置き設定値</x:v>
      </x:c>
      <x:c r="K13" s="15" t="str">
        <x:f>IF(AND(COUNT(F13:H13)=3,F13&gt;0,F13&lt;=G13,G13&lt;=H13),"OK","要修正")</x:f>
        <x:v>OK</x:v>
      </x:c>
    </x:row>
    <x:row r="14" ht="88" customHeight="1">
      <x:c r="A14" s="6" t="str">
        <x:v>PAGE|Low</x:v>
      </x:c>
      <x:c r="B14" s="6" t="str">
        <x:v>PAGE</x:v>
      </x:c>
      <x:c r="C14" s="6" t="str">
        <x:v>ページPOM</x:v>
      </x:c>
      <x:c r="D14" s="6" t="str">
        <x:v>Low</x:v>
      </x:c>
      <x:c r="E14" s="6" t="str">
        <x:v>独立した責務を持つページオブジェクト1単位</x:v>
      </x:c>
      <x:c r="F14" s="8" t="n">
        <x:v>1</x:v>
      </x:c>
      <x:c r="G14" s="8" t="n">
        <x:v>2</x:v>
      </x:c>
      <x:c r="H14" s="8" t="n">
        <x:v>4</x:v>
      </x:c>
      <x:c r="I14" s="6" t="str">
        <x:v>設計・実装/設定・レビュー・部品確認込み</x:v>
      </x:c>
      <x:c r="J14" s="6" t="str">
        <x:v>仮置き設定値</x:v>
      </x:c>
      <x:c r="K14" s="15" t="str">
        <x:f>IF(AND(COUNT(F14:H14)=3,F14&gt;0,F14&lt;=G14,G14&lt;=H14),"OK","要修正")</x:f>
        <x:v>OK</x:v>
      </x:c>
    </x:row>
    <x:row r="15" ht="88" customHeight="1">
      <x:c r="A15" s="3" t="str">
        <x:v>PAGE|Mid</x:v>
      </x:c>
      <x:c r="B15" s="3" t="str">
        <x:v>PAGE</x:v>
      </x:c>
      <x:c r="C15" s="3" t="str">
        <x:v>ページPOM</x:v>
      </x:c>
      <x:c r="D15" s="3" t="str">
        <x:v>Mid</x:v>
      </x:c>
      <x:c r="E15" s="3" t="str">
        <x:v>独立した責務を持つページオブジェクト1単位</x:v>
      </x:c>
      <x:c r="F15" s="8" t="n">
        <x:v>4</x:v>
      </x:c>
      <x:c r="G15" s="8" t="n">
        <x:v>7</x:v>
      </x:c>
      <x:c r="H15" s="8" t="n">
        <x:v>12</x:v>
      </x:c>
      <x:c r="I15" s="3" t="str">
        <x:v>設計・実装/設定・レビュー・部品確認込み</x:v>
      </x:c>
      <x:c r="J15" s="3" t="str">
        <x:v>仮置き設定値</x:v>
      </x:c>
      <x:c r="K15" s="15" t="str">
        <x:f>IF(AND(COUNT(F15:H15)=3,F15&gt;0,F15&lt;=G15,G15&lt;=H15),"OK","要修正")</x:f>
        <x:v>OK</x:v>
      </x:c>
    </x:row>
    <x:row r="16" ht="88" customHeight="1">
      <x:c r="A16" s="6" t="str">
        <x:v>PAGE|High</x:v>
      </x:c>
      <x:c r="B16" s="6" t="str">
        <x:v>PAGE</x:v>
      </x:c>
      <x:c r="C16" s="6" t="str">
        <x:v>ページPOM</x:v>
      </x:c>
      <x:c r="D16" s="6" t="str">
        <x:v>High</x:v>
      </x:c>
      <x:c r="E16" s="6" t="str">
        <x:v>独立した責務を持つページオブジェクト1単位</x:v>
      </x:c>
      <x:c r="F16" s="8" t="n">
        <x:v>12</x:v>
      </x:c>
      <x:c r="G16" s="8" t="n">
        <x:v>18</x:v>
      </x:c>
      <x:c r="H16" s="8" t="n">
        <x:v>28</x:v>
      </x:c>
      <x:c r="I16" s="6" t="str">
        <x:v>設計・実装/設定・レビュー・部品確認込み</x:v>
      </x:c>
      <x:c r="J16" s="6" t="str">
        <x:v>仮置き設定値</x:v>
      </x:c>
      <x:c r="K16" s="15" t="str">
        <x:f>IF(AND(COUNT(F16:H16)=3,F16&gt;0,F16&lt;=G16,G16&lt;=H16),"OK","要修正")</x:f>
        <x:v>OK</x:v>
      </x:c>
    </x:row>
    <x:row r="17" ht="88" customHeight="1">
      <x:c r="A17" s="3" t="str">
        <x:v>COMP|Low</x:v>
      </x:c>
      <x:c r="B17" s="3" t="str">
        <x:v>COMP</x:v>
      </x:c>
      <x:c r="C17" s="3" t="str">
        <x:v>共通UIコンポーネント</x:v>
      </x:c>
      <x:c r="D17" s="3" t="str">
        <x:v>Low</x:v>
      </x:c>
      <x:c r="E17" s="3" t="str">
        <x:v>再利用可能なUI責務1単位</x:v>
      </x:c>
      <x:c r="F17" s="8" t="n">
        <x:v>1</x:v>
      </x:c>
      <x:c r="G17" s="8" t="n">
        <x:v>2</x:v>
      </x:c>
      <x:c r="H17" s="8" t="n">
        <x:v>3</x:v>
      </x:c>
      <x:c r="I17" s="3" t="str">
        <x:v>設計・実装/設定・レビュー・部品確認込み</x:v>
      </x:c>
      <x:c r="J17" s="3" t="str">
        <x:v>仮置き設定値</x:v>
      </x:c>
      <x:c r="K17" s="15" t="str">
        <x:f>IF(AND(COUNT(F17:H17)=3,F17&gt;0,F17&lt;=G17,G17&lt;=H17),"OK","要修正")</x:f>
        <x:v>OK</x:v>
      </x:c>
    </x:row>
    <x:row r="18" ht="88" customHeight="1">
      <x:c r="A18" s="6" t="str">
        <x:v>COMP|Mid</x:v>
      </x:c>
      <x:c r="B18" s="6" t="str">
        <x:v>COMP</x:v>
      </x:c>
      <x:c r="C18" s="6" t="str">
        <x:v>共通UIコンポーネント</x:v>
      </x:c>
      <x:c r="D18" s="6" t="str">
        <x:v>Mid</x:v>
      </x:c>
      <x:c r="E18" s="6" t="str">
        <x:v>再利用可能なUI責務1単位</x:v>
      </x:c>
      <x:c r="F18" s="8" t="n">
        <x:v>3</x:v>
      </x:c>
      <x:c r="G18" s="8" t="n">
        <x:v>5</x:v>
      </x:c>
      <x:c r="H18" s="8" t="n">
        <x:v>8</x:v>
      </x:c>
      <x:c r="I18" s="6" t="str">
        <x:v>設計・実装/設定・レビュー・部品確認込み</x:v>
      </x:c>
      <x:c r="J18" s="6" t="str">
        <x:v>仮置き設定値</x:v>
      </x:c>
      <x:c r="K18" s="15" t="str">
        <x:f>IF(AND(COUNT(F18:H18)=3,F18&gt;0,F18&lt;=G18,G18&lt;=H18),"OK","要修正")</x:f>
        <x:v>OK</x:v>
      </x:c>
    </x:row>
    <x:row r="19" ht="88" customHeight="1">
      <x:c r="A19" s="3" t="str">
        <x:v>COMP|High</x:v>
      </x:c>
      <x:c r="B19" s="3" t="str">
        <x:v>COMP</x:v>
      </x:c>
      <x:c r="C19" s="3" t="str">
        <x:v>共通UIコンポーネント</x:v>
      </x:c>
      <x:c r="D19" s="3" t="str">
        <x:v>High</x:v>
      </x:c>
      <x:c r="E19" s="3" t="str">
        <x:v>再利用可能なUI責務1単位</x:v>
      </x:c>
      <x:c r="F19" s="8" t="n">
        <x:v>8</x:v>
      </x:c>
      <x:c r="G19" s="8" t="n">
        <x:v>14</x:v>
      </x:c>
      <x:c r="H19" s="8" t="n">
        <x:v>24</x:v>
      </x:c>
      <x:c r="I19" s="3" t="str">
        <x:v>設計・実装/設定・レビュー・部品確認込み</x:v>
      </x:c>
      <x:c r="J19" s="3" t="str">
        <x:v>仮置き設定値</x:v>
      </x:c>
      <x:c r="K19" s="15" t="str">
        <x:f>IF(AND(COUNT(F19:H19)=3,F19&gt;0,F19&lt;=G19,G19&lt;=H19),"OK","要修正")</x:f>
        <x:v>OK</x:v>
      </x:c>
    </x:row>
    <x:row r="20" ht="88" customHeight="1">
      <x:c r="A20" s="6" t="str">
        <x:v>FLOW|Low</x:v>
      </x:c>
      <x:c r="B20" s="6" t="str">
        <x:v>FLOW</x:v>
      </x:c>
      <x:c r="C20" s="6" t="str">
        <x:v>共通業務フロー</x:v>
      </x:c>
      <x:c r="D20" s="6" t="str">
        <x:v>Low</x:v>
      </x:c>
      <x:c r="E20" s="6" t="str">
        <x:v>再利用する業務目的1単位</x:v>
      </x:c>
      <x:c r="F20" s="8" t="n">
        <x:v>1</x:v>
      </x:c>
      <x:c r="G20" s="8" t="n">
        <x:v>2</x:v>
      </x:c>
      <x:c r="H20" s="8" t="n">
        <x:v>4</x:v>
      </x:c>
      <x:c r="I20" s="6" t="str">
        <x:v>設計・実装/設定・レビュー・部品確認込み</x:v>
      </x:c>
      <x:c r="J20" s="6" t="str">
        <x:v>仮置き設定値</x:v>
      </x:c>
      <x:c r="K20" s="15" t="str">
        <x:f>IF(AND(COUNT(F20:H20)=3,F20&gt;0,F20&lt;=G20,G20&lt;=H20),"OK","要修正")</x:f>
        <x:v>OK</x:v>
      </x:c>
    </x:row>
    <x:row r="21" ht="88" customHeight="1">
      <x:c r="A21" s="3" t="str">
        <x:v>FLOW|Mid</x:v>
      </x:c>
      <x:c r="B21" s="3" t="str">
        <x:v>FLOW</x:v>
      </x:c>
      <x:c r="C21" s="3" t="str">
        <x:v>共通業務フロー</x:v>
      </x:c>
      <x:c r="D21" s="3" t="str">
        <x:v>Mid</x:v>
      </x:c>
      <x:c r="E21" s="3" t="str">
        <x:v>再利用する業務目的1単位</x:v>
      </x:c>
      <x:c r="F21" s="8" t="n">
        <x:v>4</x:v>
      </x:c>
      <x:c r="G21" s="8" t="n">
        <x:v>7</x:v>
      </x:c>
      <x:c r="H21" s="8" t="n">
        <x:v>12</x:v>
      </x:c>
      <x:c r="I21" s="3" t="str">
        <x:v>設計・実装/設定・レビュー・部品確認込み</x:v>
      </x:c>
      <x:c r="J21" s="3" t="str">
        <x:v>仮置き設定値</x:v>
      </x:c>
      <x:c r="K21" s="15" t="str">
        <x:f>IF(AND(COUNT(F21:H21)=3,F21&gt;0,F21&lt;=G21,G21&lt;=H21),"OK","要修正")</x:f>
        <x:v>OK</x:v>
      </x:c>
    </x:row>
    <x:row r="22" ht="88" customHeight="1">
      <x:c r="A22" s="6" t="str">
        <x:v>FLOW|High</x:v>
      </x:c>
      <x:c r="B22" s="6" t="str">
        <x:v>FLOW</x:v>
      </x:c>
      <x:c r="C22" s="6" t="str">
        <x:v>共通業務フロー</x:v>
      </x:c>
      <x:c r="D22" s="6" t="str">
        <x:v>High</x:v>
      </x:c>
      <x:c r="E22" s="6" t="str">
        <x:v>再利用する業務目的1単位</x:v>
      </x:c>
      <x:c r="F22" s="8" t="n">
        <x:v>12</x:v>
      </x:c>
      <x:c r="G22" s="8" t="n">
        <x:v>20</x:v>
      </x:c>
      <x:c r="H22" s="8" t="n">
        <x:v>32</x:v>
      </x:c>
      <x:c r="I22" s="6" t="str">
        <x:v>設計・実装/設定・レビュー・部品確認込み</x:v>
      </x:c>
      <x:c r="J22" s="6" t="str">
        <x:v>仮置き設定値</x:v>
      </x:c>
      <x:c r="K22" s="15" t="str">
        <x:f>IF(AND(COUNT(F22:H22)=3,F22&gt;0,F22&lt;=G22,G22&lt;=H22),"OK","要修正")</x:f>
        <x:v>OK</x:v>
      </x:c>
    </x:row>
    <x:row r="23" ht="88" customHeight="1">
      <x:c r="A23" s="3" t="str">
        <x:v>UTIL|Low</x:v>
      </x:c>
      <x:c r="B23" s="3" t="str">
        <x:v>UTIL</x:v>
      </x:c>
      <x:c r="C23" s="3" t="str">
        <x:v>共通補助処理</x:v>
      </x:c>
      <x:c r="D23" s="3" t="str">
        <x:v>Low</x:v>
      </x:c>
      <x:c r="E23" s="3" t="str">
        <x:v>単一責務の再利用可能な補助機能1単位</x:v>
      </x:c>
      <x:c r="F23" s="8" t="n">
        <x:v>1</x:v>
      </x:c>
      <x:c r="G23" s="8" t="n">
        <x:v>2</x:v>
      </x:c>
      <x:c r="H23" s="8" t="n">
        <x:v>3</x:v>
      </x:c>
      <x:c r="I23" s="3" t="str">
        <x:v>設計・実装/設定・レビュー・部品確認込み</x:v>
      </x:c>
      <x:c r="J23" s="3" t="str">
        <x:v>仮置き設定値</x:v>
      </x:c>
      <x:c r="K23" s="15" t="str">
        <x:f>IF(AND(COUNT(F23:H23)=3,F23&gt;0,F23&lt;=G23,G23&lt;=H23),"OK","要修正")</x:f>
        <x:v>OK</x:v>
      </x:c>
    </x:row>
    <x:row r="24" ht="88" customHeight="1">
      <x:c r="A24" s="6" t="str">
        <x:v>UTIL|Mid</x:v>
      </x:c>
      <x:c r="B24" s="6" t="str">
        <x:v>UTIL</x:v>
      </x:c>
      <x:c r="C24" s="6" t="str">
        <x:v>共通補助処理</x:v>
      </x:c>
      <x:c r="D24" s="6" t="str">
        <x:v>Mid</x:v>
      </x:c>
      <x:c r="E24" s="6" t="str">
        <x:v>単一責務の再利用可能な補助機能1単位</x:v>
      </x:c>
      <x:c r="F24" s="8" t="n">
        <x:v>3</x:v>
      </x:c>
      <x:c r="G24" s="8" t="n">
        <x:v>6</x:v>
      </x:c>
      <x:c r="H24" s="8" t="n">
        <x:v>10</x:v>
      </x:c>
      <x:c r="I24" s="6" t="str">
        <x:v>設計・実装/設定・レビュー・部品確認込み</x:v>
      </x:c>
      <x:c r="J24" s="6" t="str">
        <x:v>仮置き設定値</x:v>
      </x:c>
      <x:c r="K24" s="15" t="str">
        <x:f>IF(AND(COUNT(F24:H24)=3,F24&gt;0,F24&lt;=G24,G24&lt;=H24),"OK","要修正")</x:f>
        <x:v>OK</x:v>
      </x:c>
    </x:row>
    <x:row r="25" ht="88" customHeight="1">
      <x:c r="A25" s="3" t="str">
        <x:v>UTIL|High</x:v>
      </x:c>
      <x:c r="B25" s="3" t="str">
        <x:v>UTIL</x:v>
      </x:c>
      <x:c r="C25" s="3" t="str">
        <x:v>共通補助処理</x:v>
      </x:c>
      <x:c r="D25" s="3" t="str">
        <x:v>High</x:v>
      </x:c>
      <x:c r="E25" s="3" t="str">
        <x:v>単一責務の再利用可能な補助機能1単位</x:v>
      </x:c>
      <x:c r="F25" s="8" t="n">
        <x:v>10</x:v>
      </x:c>
      <x:c r="G25" s="8" t="n">
        <x:v>18</x:v>
      </x:c>
      <x:c r="H25" s="8" t="n">
        <x:v>32</x:v>
      </x:c>
      <x:c r="I25" s="3" t="str">
        <x:v>設計・実装/設定・レビュー・部品確認込み</x:v>
      </x:c>
      <x:c r="J25" s="3" t="str">
        <x:v>仮置き設定値</x:v>
      </x:c>
      <x:c r="K25" s="15" t="str">
        <x:f>IF(AND(COUNT(F25:H25)=3,F25&gt;0,F25&lt;=G25,G25&lt;=H25),"OK","要修正")</x:f>
        <x:v>OK</x:v>
      </x:c>
    </x:row>
    <x:row r="26" ht="88" customHeight="1">
      <x:c r="A26" s="6" t="str">
        <x:v>EXT|Low</x:v>
      </x:c>
      <x:c r="B26" s="6" t="str">
        <x:v>EXT</x:v>
      </x:c>
      <x:c r="C26" s="6" t="str">
        <x:v>外部システム接続</x:v>
      </x:c>
      <x:c r="D26" s="6" t="str">
        <x:v>Low</x:v>
      </x:c>
      <x:c r="E26" s="6" t="str">
        <x:v>独立した接続契約/認証方式のアダプター1単位</x:v>
      </x:c>
      <x:c r="F26" s="8" t="n">
        <x:v>2</x:v>
      </x:c>
      <x:c r="G26" s="8" t="n">
        <x:v>3</x:v>
      </x:c>
      <x:c r="H26" s="8" t="n">
        <x:v>5</x:v>
      </x:c>
      <x:c r="I26" s="6" t="str">
        <x:v>設計・実装/設定・レビュー・部品確認込み</x:v>
      </x:c>
      <x:c r="J26" s="6" t="str">
        <x:v>仮置き設定値</x:v>
      </x:c>
      <x:c r="K26" s="15" t="str">
        <x:f>IF(AND(COUNT(F26:H26)=3,F26&gt;0,F26&lt;=G26,G26&lt;=H26),"OK","要修正")</x:f>
        <x:v>OK</x:v>
      </x:c>
    </x:row>
    <x:row r="27" ht="88" customHeight="1">
      <x:c r="A27" s="3" t="str">
        <x:v>EXT|Mid</x:v>
      </x:c>
      <x:c r="B27" s="3" t="str">
        <x:v>EXT</x:v>
      </x:c>
      <x:c r="C27" s="3" t="str">
        <x:v>外部システム接続</x:v>
      </x:c>
      <x:c r="D27" s="3" t="str">
        <x:v>Mid</x:v>
      </x:c>
      <x:c r="E27" s="3" t="str">
        <x:v>独立した接続契約/認証方式のアダプター1単位</x:v>
      </x:c>
      <x:c r="F27" s="8" t="n">
        <x:v>5</x:v>
      </x:c>
      <x:c r="G27" s="8" t="n">
        <x:v>9</x:v>
      </x:c>
      <x:c r="H27" s="8" t="n">
        <x:v>16</x:v>
      </x:c>
      <x:c r="I27" s="3" t="str">
        <x:v>設計・実装/設定・レビュー・部品確認込み</x:v>
      </x:c>
      <x:c r="J27" s="3" t="str">
        <x:v>仮置き設定値</x:v>
      </x:c>
      <x:c r="K27" s="15" t="str">
        <x:f>IF(AND(COUNT(F27:H27)=3,F27&gt;0,F27&lt;=G27,G27&lt;=H27),"OK","要修正")</x:f>
        <x:v>OK</x:v>
      </x:c>
    </x:row>
    <x:row r="28" ht="88" customHeight="1">
      <x:c r="A28" s="6" t="str">
        <x:v>EXT|High</x:v>
      </x:c>
      <x:c r="B28" s="6" t="str">
        <x:v>EXT</x:v>
      </x:c>
      <x:c r="C28" s="6" t="str">
        <x:v>外部システム接続</x:v>
      </x:c>
      <x:c r="D28" s="6" t="str">
        <x:v>High</x:v>
      </x:c>
      <x:c r="E28" s="6" t="str">
        <x:v>独立した接続契約/認証方式のアダプター1単位</x:v>
      </x:c>
      <x:c r="F28" s="8" t="n">
        <x:v>16</x:v>
      </x:c>
      <x:c r="G28" s="8" t="n">
        <x:v>24</x:v>
      </x:c>
      <x:c r="H28" s="8" t="n">
        <x:v>40</x:v>
      </x:c>
      <x:c r="I28" s="6" t="str">
        <x:v>設計・実装/設定・レビュー・部品確認込み</x:v>
      </x:c>
      <x:c r="J28" s="6" t="str">
        <x:v>仮置き設定値</x:v>
      </x:c>
      <x:c r="K28" s="15" t="str">
        <x:f>IF(AND(COUNT(F28:H28)=3,F28&gt;0,F28&lt;=G28,G28&lt;=H28),"OK","要修正")</x:f>
        <x:v>OK</x:v>
      </x:c>
    </x:row>
    <x:row r="29" ht="88" customHeight="1">
      <x:c r="A29" s="3" t="str">
        <x:v>RUN|Low</x:v>
      </x:c>
      <x:c r="B29" s="3" t="str">
        <x:v>RUN</x:v>
      </x:c>
      <x:c r="C29" s="3" t="str">
        <x:v>全体実行・安定化</x:v>
      </x:c>
      <x:c r="D29" s="3" t="str">
        <x:v>Low</x:v>
      </x:c>
      <x:c r="E29" s="3" t="str">
        <x:v>合意した実行構成と受入確認1式</x:v>
      </x:c>
      <x:c r="F29" s="8" t="n">
        <x:v>2</x:v>
      </x:c>
      <x:c r="G29" s="8" t="n">
        <x:v>4</x:v>
      </x:c>
      <x:c r="H29" s="8" t="n">
        <x:v>6</x:v>
      </x:c>
      <x:c r="I29" s="3" t="str">
        <x:v>設計・実装/設定・レビュー・部品確認込み</x:v>
      </x:c>
      <x:c r="J29" s="3" t="str">
        <x:v>仮置き設定値</x:v>
      </x:c>
      <x:c r="K29" s="15" t="str">
        <x:f>IF(AND(COUNT(F29:H29)=3,F29&gt;0,F29&lt;=G29,G29&lt;=H29),"OK","要修正")</x:f>
        <x:v>OK</x:v>
      </x:c>
    </x:row>
    <x:row r="30" ht="88" customHeight="1">
      <x:c r="A30" s="6" t="str">
        <x:v>RUN|Mid</x:v>
      </x:c>
      <x:c r="B30" s="6" t="str">
        <x:v>RUN</x:v>
      </x:c>
      <x:c r="C30" s="6" t="str">
        <x:v>全体実行・安定化</x:v>
      </x:c>
      <x:c r="D30" s="6" t="str">
        <x:v>Mid</x:v>
      </x:c>
      <x:c r="E30" s="6" t="str">
        <x:v>合意した実行構成と受入確認1式</x:v>
      </x:c>
      <x:c r="F30" s="8" t="n">
        <x:v>6</x:v>
      </x:c>
      <x:c r="G30" s="8" t="n">
        <x:v>10</x:v>
      </x:c>
      <x:c r="H30" s="8" t="n">
        <x:v>18</x:v>
      </x:c>
      <x:c r="I30" s="6" t="str">
        <x:v>設計・実装/設定・レビュー・部品確認込み</x:v>
      </x:c>
      <x:c r="J30" s="6" t="str">
        <x:v>仮置き設定値</x:v>
      </x:c>
      <x:c r="K30" s="15" t="str">
        <x:f>IF(AND(COUNT(F30:H30)=3,F30&gt;0,F30&lt;=G30,G30&lt;=H30),"OK","要修正")</x:f>
        <x:v>OK</x:v>
      </x:c>
    </x:row>
    <x:row r="31" ht="88" customHeight="1">
      <x:c r="A31" s="3" t="str">
        <x:v>RUN|High</x:v>
      </x:c>
      <x:c r="B31" s="3" t="str">
        <x:v>RUN</x:v>
      </x:c>
      <x:c r="C31" s="3" t="str">
        <x:v>全体実行・安定化</x:v>
      </x:c>
      <x:c r="D31" s="3" t="str">
        <x:v>High</x:v>
      </x:c>
      <x:c r="E31" s="3" t="str">
        <x:v>合意した実行構成と受入確認1式</x:v>
      </x:c>
      <x:c r="F31" s="8" t="n">
        <x:v>18</x:v>
      </x:c>
      <x:c r="G31" s="8" t="n">
        <x:v>28</x:v>
      </x:c>
      <x:c r="H31" s="8" t="n">
        <x:v>48</x:v>
      </x:c>
      <x:c r="I31" s="3" t="str">
        <x:v>設計・実装/設定・レビュー・部品確認込み</x:v>
      </x:c>
      <x:c r="J31" s="3" t="str">
        <x:v>仮置き設定値</x:v>
      </x:c>
      <x:c r="K31" s="15" t="str">
        <x:f>IF(AND(COUNT(F31:H31)=3,F31&gt;0,F31&lt;=G31,G31&lt;=H31),"OK","要修正")</x:f>
        <x:v>OK</x:v>
      </x:c>
    </x:row>
    <x:row r="32" ht="88" customHeight="1">
      <x:c r="A32" s="6" t="str">
        <x:v>CI|Low</x:v>
      </x:c>
      <x:c r="B32" s="6" t="str">
        <x:v>CI</x:v>
      </x:c>
      <x:c r="C32" s="6" t="str">
        <x:v>CI連携</x:v>
      </x:c>
      <x:c r="D32" s="6" t="str">
        <x:v>Low</x:v>
      </x:c>
      <x:c r="E32" s="6" t="str">
        <x:v>独立したパイプライン/実行契約1単位</x:v>
      </x:c>
      <x:c r="F32" s="8" t="n">
        <x:v>2</x:v>
      </x:c>
      <x:c r="G32" s="8" t="n">
        <x:v>4</x:v>
      </x:c>
      <x:c r="H32" s="8" t="n">
        <x:v>6</x:v>
      </x:c>
      <x:c r="I32" s="6" t="str">
        <x:v>設計・実装/設定・レビュー・部品確認込み</x:v>
      </x:c>
      <x:c r="J32" s="6" t="str">
        <x:v>仮置き設定値</x:v>
      </x:c>
      <x:c r="K32" s="15" t="str">
        <x:f>IF(AND(COUNT(F32:H32)=3,F32&gt;0,F32&lt;=G32,G32&lt;=H32),"OK","要修正")</x:f>
        <x:v>OK</x:v>
      </x:c>
    </x:row>
    <x:row r="33" ht="88" customHeight="1">
      <x:c r="A33" s="3" t="str">
        <x:v>CI|Mid</x:v>
      </x:c>
      <x:c r="B33" s="3" t="str">
        <x:v>CI</x:v>
      </x:c>
      <x:c r="C33" s="3" t="str">
        <x:v>CI連携</x:v>
      </x:c>
      <x:c r="D33" s="3" t="str">
        <x:v>Mid</x:v>
      </x:c>
      <x:c r="E33" s="3" t="str">
        <x:v>独立したパイプライン/実行契約1単位</x:v>
      </x:c>
      <x:c r="F33" s="8" t="n">
        <x:v>6</x:v>
      </x:c>
      <x:c r="G33" s="8" t="n">
        <x:v>10</x:v>
      </x:c>
      <x:c r="H33" s="8" t="n">
        <x:v>16</x:v>
      </x:c>
      <x:c r="I33" s="3" t="str">
        <x:v>設計・実装/設定・レビュー・部品確認込み</x:v>
      </x:c>
      <x:c r="J33" s="3" t="str">
        <x:v>仮置き設定値</x:v>
      </x:c>
      <x:c r="K33" s="15" t="str">
        <x:f>IF(AND(COUNT(F33:H33)=3,F33&gt;0,F33&lt;=G33,G33&lt;=H33),"OK","要修正")</x:f>
        <x:v>OK</x:v>
      </x:c>
    </x:row>
    <x:row r="34" ht="88" customHeight="1">
      <x:c r="A34" s="6" t="str">
        <x:v>CI|High</x:v>
      </x:c>
      <x:c r="B34" s="6" t="str">
        <x:v>CI</x:v>
      </x:c>
      <x:c r="C34" s="6" t="str">
        <x:v>CI連携</x:v>
      </x:c>
      <x:c r="D34" s="6" t="str">
        <x:v>High</x:v>
      </x:c>
      <x:c r="E34" s="6" t="str">
        <x:v>独立したパイプライン/実行契約1単位</x:v>
      </x:c>
      <x:c r="F34" s="8" t="n">
        <x:v>16</x:v>
      </x:c>
      <x:c r="G34" s="8" t="n">
        <x:v>24</x:v>
      </x:c>
      <x:c r="H34" s="8" t="n">
        <x:v>40</x:v>
      </x:c>
      <x:c r="I34" s="6" t="str">
        <x:v>設計・実装/設定・レビュー・部品確認込み</x:v>
      </x:c>
      <x:c r="J34" s="6" t="str">
        <x:v>仮置き設定値</x:v>
      </x:c>
      <x:c r="K34" s="15" t="str">
        <x:f>IF(AND(COUNT(F34:H34)=3,F34&gt;0,F34&lt;=G34,G34&lt;=H34),"OK","要修正")</x:f>
        <x:v>OK</x:v>
      </x:c>
    </x:row>
    <x:row r="35" ht="88" customHeight="1">
      <x:c r="A35" s="3" t="str">
        <x:v>REPORT|Low</x:v>
      </x:c>
      <x:c r="B35" s="3" t="str">
        <x:v>REPORT</x:v>
      </x:c>
      <x:c r="C35" s="3" t="str">
        <x:v>結果・証跡管理</x:v>
      </x:c>
      <x:c r="D35" s="3" t="str">
        <x:v>Low</x:v>
      </x:c>
      <x:c r="E35" s="3" t="str">
        <x:v>独立した出力形式/配信先連携1単位</x:v>
      </x:c>
      <x:c r="F35" s="8" t="n">
        <x:v>1</x:v>
      </x:c>
      <x:c r="G35" s="8" t="n">
        <x:v>2</x:v>
      </x:c>
      <x:c r="H35" s="8" t="n">
        <x:v>3</x:v>
      </x:c>
      <x:c r="I35" s="3" t="str">
        <x:v>設計・実装/設定・レビュー・部品確認込み</x:v>
      </x:c>
      <x:c r="J35" s="3" t="str">
        <x:v>仮置き設定値</x:v>
      </x:c>
      <x:c r="K35" s="15" t="str">
        <x:f>IF(AND(COUNT(F35:H35)=3,F35&gt;0,F35&lt;=G35,G35&lt;=H35),"OK","要修正")</x:f>
        <x:v>OK</x:v>
      </x:c>
    </x:row>
    <x:row r="36" ht="88" customHeight="1">
      <x:c r="A36" s="6" t="str">
        <x:v>REPORT|Mid</x:v>
      </x:c>
      <x:c r="B36" s="6" t="str">
        <x:v>REPORT</x:v>
      </x:c>
      <x:c r="C36" s="6" t="str">
        <x:v>結果・証跡管理</x:v>
      </x:c>
      <x:c r="D36" s="6" t="str">
        <x:v>Mid</x:v>
      </x:c>
      <x:c r="E36" s="6" t="str">
        <x:v>独立した出力形式/配信先連携1単位</x:v>
      </x:c>
      <x:c r="F36" s="8" t="n">
        <x:v>3</x:v>
      </x:c>
      <x:c r="G36" s="8" t="n">
        <x:v>6</x:v>
      </x:c>
      <x:c r="H36" s="8" t="n">
        <x:v>10</x:v>
      </x:c>
      <x:c r="I36" s="6" t="str">
        <x:v>設計・実装/設定・レビュー・部品確認込み</x:v>
      </x:c>
      <x:c r="J36" s="6" t="str">
        <x:v>仮置き設定値</x:v>
      </x:c>
      <x:c r="K36" s="15" t="str">
        <x:f>IF(AND(COUNT(F36:H36)=3,F36&gt;0,F36&lt;=G36,G36&lt;=H36),"OK","要修正")</x:f>
        <x:v>OK</x:v>
      </x:c>
    </x:row>
    <x:row r="37" ht="88" customHeight="1">
      <x:c r="A37" s="3" t="str">
        <x:v>REPORT|High</x:v>
      </x:c>
      <x:c r="B37" s="3" t="str">
        <x:v>REPORT</x:v>
      </x:c>
      <x:c r="C37" s="3" t="str">
        <x:v>結果・証跡管理</x:v>
      </x:c>
      <x:c r="D37" s="3" t="str">
        <x:v>High</x:v>
      </x:c>
      <x:c r="E37" s="3" t="str">
        <x:v>独立した出力形式/配信先連携1単位</x:v>
      </x:c>
      <x:c r="F37" s="8" t="n">
        <x:v>10</x:v>
      </x:c>
      <x:c r="G37" s="8" t="n">
        <x:v>18</x:v>
      </x:c>
      <x:c r="H37" s="8" t="n">
        <x:v>30</x:v>
      </x:c>
      <x:c r="I37" s="3" t="str">
        <x:v>設計・実装/設定・レビュー・部品確認込み</x:v>
      </x:c>
      <x:c r="J37" s="3" t="str">
        <x:v>仮置き設定値</x:v>
      </x:c>
      <x:c r="K37" s="15" t="str">
        <x:f>IF(AND(COUNT(F37:H37)=3,F37&gt;0,F37&lt;=G37,G37&lt;=H37),"OK","要修正")</x:f>
        <x:v>OK</x:v>
      </x:c>
    </x:row>
    <x:row r="38" ht="88" customHeight="1">
      <x:c r="A38" s="6" t="str">
        <x:v>DOC|Low</x:v>
      </x:c>
      <x:c r="B38" s="6" t="str">
        <x:v>DOC</x:v>
      </x:c>
      <x:c r="C38" s="6" t="str">
        <x:v>運用・引継ぎ</x:v>
      </x:c>
      <x:c r="D38" s="6" t="str">
        <x:v>Low</x:v>
      </x:c>
      <x:c r="E38" s="6" t="str">
        <x:v>合意した利用者向け手順一式</x:v>
      </x:c>
      <x:c r="F38" s="8" t="n">
        <x:v>1</x:v>
      </x:c>
      <x:c r="G38" s="8" t="n">
        <x:v>2</x:v>
      </x:c>
      <x:c r="H38" s="8" t="n">
        <x:v>4</x:v>
      </x:c>
      <x:c r="I38" s="6" t="str">
        <x:v>設計・実装/設定・レビュー・部品確認込み</x:v>
      </x:c>
      <x:c r="J38" s="6" t="str">
        <x:v>仮置き設定値</x:v>
      </x:c>
      <x:c r="K38" s="15" t="str">
        <x:f>IF(AND(COUNT(F38:H38)=3,F38&gt;0,F38&lt;=G38,G38&lt;=H38),"OK","要修正")</x:f>
        <x:v>OK</x:v>
      </x:c>
    </x:row>
    <x:row r="39" ht="88" customHeight="1">
      <x:c r="A39" s="3" t="str">
        <x:v>DOC|Mid</x:v>
      </x:c>
      <x:c r="B39" s="3" t="str">
        <x:v>DOC</x:v>
      </x:c>
      <x:c r="C39" s="3" t="str">
        <x:v>運用・引継ぎ</x:v>
      </x:c>
      <x:c r="D39" s="3" t="str">
        <x:v>Mid</x:v>
      </x:c>
      <x:c r="E39" s="3" t="str">
        <x:v>合意した利用者向け手順一式</x:v>
      </x:c>
      <x:c r="F39" s="8" t="n">
        <x:v>4</x:v>
      </x:c>
      <x:c r="G39" s="8" t="n">
        <x:v>7</x:v>
      </x:c>
      <x:c r="H39" s="8" t="n">
        <x:v>12</x:v>
      </x:c>
      <x:c r="I39" s="3" t="str">
        <x:v>設計・実装/設定・レビュー・部品確認込み</x:v>
      </x:c>
      <x:c r="J39" s="3" t="str">
        <x:v>仮置き設定値</x:v>
      </x:c>
      <x:c r="K39" s="15" t="str">
        <x:f>IF(AND(COUNT(F39:H39)=3,F39&gt;0,F39&lt;=G39,G39&lt;=H39),"OK","要修正")</x:f>
        <x:v>OK</x:v>
      </x:c>
    </x:row>
    <x:row r="40" ht="88" customHeight="1">
      <x:c r="A40" s="6" t="str">
        <x:v>DOC|High</x:v>
      </x:c>
      <x:c r="B40" s="6" t="str">
        <x:v>DOC</x:v>
      </x:c>
      <x:c r="C40" s="6" t="str">
        <x:v>運用・引継ぎ</x:v>
      </x:c>
      <x:c r="D40" s="6" t="str">
        <x:v>High</x:v>
      </x:c>
      <x:c r="E40" s="6" t="str">
        <x:v>合意した利用者向け手順一式</x:v>
      </x:c>
      <x:c r="F40" s="8" t="n">
        <x:v>12</x:v>
      </x:c>
      <x:c r="G40" s="8" t="n">
        <x:v>18</x:v>
      </x:c>
      <x:c r="H40" s="8" t="n">
        <x:v>28</x:v>
      </x:c>
      <x:c r="I40" s="6" t="str">
        <x:v>設計・実装/設定・レビュー・部品確認込み</x:v>
      </x:c>
      <x:c r="J40" s="6" t="str">
        <x:v>仮置き設定値</x:v>
      </x:c>
      <x:c r="K40" s="15" t="str">
        <x:f>IF(AND(COUNT(F40:H40)=3,F40&gt;0,F40&lt;=G40,G40&lt;=H40),"OK","要修正")</x:f>
        <x:v>OK</x:v>
      </x:c>
    </x:row>
    <x:row r="41" ht="88" customHeight="1">
      <x:c r="A41" s="3" t="str">
        <x:v>POC|Low</x:v>
      </x:c>
      <x:c r="B41" s="3" t="str">
        <x:v>POC</x:v>
      </x:c>
      <x:c r="C41" s="3" t="str">
        <x:v>共通技術調査</x:v>
      </x:c>
      <x:c r="D41" s="3" t="str">
        <x:v>Low</x:v>
      </x:c>
      <x:c r="E41" s="3" t="str">
        <x:v>検証する技術的な問い1単位</x:v>
      </x:c>
      <x:c r="F41" s="8" t="n">
        <x:v>1</x:v>
      </x:c>
      <x:c r="G41" s="8" t="n">
        <x:v>2</x:v>
      </x:c>
      <x:c r="H41" s="8" t="n">
        <x:v>4</x:v>
      </x:c>
      <x:c r="I41" s="3" t="str">
        <x:v>設計・実装/設定・レビュー・部品確認込み</x:v>
      </x:c>
      <x:c r="J41" s="3" t="str">
        <x:v>仮置き設定値</x:v>
      </x:c>
      <x:c r="K41" s="15" t="str">
        <x:f>IF(AND(COUNT(F41:H41)=3,F41&gt;0,F41&lt;=G41,G41&lt;=H41),"OK","要修正")</x:f>
        <x:v>OK</x:v>
      </x:c>
    </x:row>
    <x:row r="42" ht="88" customHeight="1">
      <x:c r="A42" s="6" t="str">
        <x:v>POC|Mid</x:v>
      </x:c>
      <x:c r="B42" s="6" t="str">
        <x:v>POC</x:v>
      </x:c>
      <x:c r="C42" s="6" t="str">
        <x:v>共通技術調査</x:v>
      </x:c>
      <x:c r="D42" s="6" t="str">
        <x:v>Mid</x:v>
      </x:c>
      <x:c r="E42" s="6" t="str">
        <x:v>検証する技術的な問い1単位</x:v>
      </x:c>
      <x:c r="F42" s="8" t="n">
        <x:v>4</x:v>
      </x:c>
      <x:c r="G42" s="8" t="n">
        <x:v>8</x:v>
      </x:c>
      <x:c r="H42" s="8" t="n">
        <x:v>16</x:v>
      </x:c>
      <x:c r="I42" s="6" t="str">
        <x:v>設計・実装/設定・レビュー・部品確認込み</x:v>
      </x:c>
      <x:c r="J42" s="6" t="str">
        <x:v>仮置き設定値</x:v>
      </x:c>
      <x:c r="K42" s="15" t="str">
        <x:f>IF(AND(COUNT(F42:H42)=3,F42&gt;0,F42&lt;=G42,G42&lt;=H42),"OK","要修正")</x:f>
        <x:v>OK</x:v>
      </x:c>
    </x:row>
    <x:row r="43" ht="88" customHeight="1">
      <x:c r="A43" s="3" t="str">
        <x:v>POC|High</x:v>
      </x:c>
      <x:c r="B43" s="3" t="str">
        <x:v>POC</x:v>
      </x:c>
      <x:c r="C43" s="3" t="str">
        <x:v>共通技術調査</x:v>
      </x:c>
      <x:c r="D43" s="3" t="str">
        <x:v>High</x:v>
      </x:c>
      <x:c r="E43" s="3" t="str">
        <x:v>検証する技術的な問い1単位</x:v>
      </x:c>
      <x:c r="F43" s="8" t="n">
        <x:v>16</x:v>
      </x:c>
      <x:c r="G43" s="8" t="n">
        <x:v>24</x:v>
      </x:c>
      <x:c r="H43" s="8" t="n">
        <x:v>40</x:v>
      </x:c>
      <x:c r="I43" s="3" t="str">
        <x:v>設計・実装/設定・レビュー・部品確認込み</x:v>
      </x:c>
      <x:c r="J43" s="3" t="str">
        <x:v>仮置き設定値</x:v>
      </x:c>
      <x:c r="K43" s="15" t="str">
        <x:f>IF(AND(COUNT(F43:H43)=3,F43&gt;0,F43&lt;=G43,G43&lt;=H43),"OK","要修正")</x:f>
        <x:v>OK</x:v>
      </x:c>
    </x:row>
  </x:sheetData>
  <x:dataValidations count="1">
    <x:dataValidation type="decimal" operator="greaterThan" sqref="F2:H43">
      <x:formula1>0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.220000267028809" hidden="0" customWidth="1"/>
    <x:col min="2" max="2" width="25.559999465942383" hidden="0" customWidth="1"/>
    <x:col min="3" max="3" width="78.88999938964844" hidden="0" customWidth="1"/>
    <x:col min="4" max="4" width="66.66999816894531" hidden="0" customWidth="1"/>
  </x:cols>
  <x:sheetData>
    <x:row r="1" ht="34" customHeight="1">
      <x:c r="A1" s="5" t="str">
        <x:v>境界ID</x:v>
      </x:c>
      <x:c r="B1" s="5" t="str">
        <x:v>組合せ・構成</x:v>
      </x:c>
      <x:c r="C1" s="5" t="str">
        <x:v>担当の分け方</x:v>
      </x:c>
      <x:c r="D1" s="5" t="str">
        <x:v>AIの確認事項</x:v>
      </x:c>
    </x:row>
    <x:row r="2" ht="88" customHeight="1">
      <x:c r="A2" s="6" t="str">
        <x:v>BOUND-01</x:v>
      </x:c>
      <x:c r="B2" s="6" t="str">
        <x:v>認証 × fixture</x:v>
      </x:c>
      <x:c r="C2" s="6" t="str">
        <x:v>AUTHは認証/状態更新本体。FIXは準備順序・スコープ・解放。</x:v>
      </x:c>
      <x:c r="D2" s="6" t="str">
        <x:v>同じログインコードを両方に満額計上していないか。</x:v>
      </x:c>
    </x:row>
    <x:row r="3" ht="88" customHeight="1">
      <x:c r="A3" s="3" t="str">
        <x:v>BOUND-02</x:v>
      </x:c>
      <x:c r="B3" s="3" t="str">
        <x:v>データ × fixture</x:v>
      </x:c>
      <x:c r="C3" s="3" t="str">
        <x:v>DATAは投入・特定・削除本体。FIXは利用タイミングとライフサイクル。</x:v>
      </x:c>
      <x:c r="D3" s="3" t="str">
        <x:v>作成と後処理を同じ責務としてまとめたDATAを再度別部品化していないか。</x:v>
      </x:c>
    </x:row>
    <x:row r="4" ht="88" customHeight="1">
      <x:c r="A4" s="6" t="str">
        <x:v>BOUND-03</x:v>
      </x:c>
      <x:c r="B4" s="6" t="str">
        <x:v>POM × 共通UI</x:v>
      </x:c>
      <x:c r="C4" s="6" t="str">
        <x:v>PAGEはページ固有処理。COMPは共通UI本体。</x:v>
      </x:c>
      <x:c r="D4" s="6" t="str">
        <x:v>同じヘッダー・表・ダイアログ実装を各PAGEにも積んでいないか。</x:v>
      </x:c>
    </x:row>
    <x:row r="5" ht="88" customHeight="1">
      <x:c r="A5" s="3" t="str">
        <x:v>BOUND-04</x:v>
      </x:c>
      <x:c r="B5" s="3" t="str">
        <x:v>POM × 業務フロー</x:v>
      </x:c>
      <x:c r="C5" s="3" t="str">
        <x:v>PAGEは画面操作。FLOWは複数部品を用いた業務目的の達成。</x:v>
      </x:c>
      <x:c r="D5" s="3" t="str">
        <x:v>POMのメソッド数とFLOWの呼出し回数を独立した満額件数にしていないか。</x:v>
      </x:c>
    </x:row>
    <x:row r="6" ht="88" customHeight="1">
      <x:c r="A6" s="6" t="str">
        <x:v>BOUND-05</x:v>
      </x:c>
      <x:c r="B6" s="6" t="str">
        <x:v>外部接続 × データ/補助処理</x:v>
      </x:c>
      <x:c r="C6" s="6" t="str">
        <x:v>EXTは通信契約。DATAは投入データや復元、UTILは解析/照合。</x:v>
      </x:c>
      <x:c r="D6" s="6" t="str">
        <x:v>同じAPI要求の実装と認証処理が複数作業に含まれていないか。</x:v>
      </x:c>
    </x:row>
    <x:row r="7" ht="88" customHeight="1">
      <x:c r="A7" s="3" t="str">
        <x:v>BOUND-06</x:v>
      </x:c>
      <x:c r="B7" s="3" t="str">
        <x:v>基盤 × レポート × CI</x:v>
      </x:c>
      <x:c r="C7" s="3" t="str">
        <x:v>BASEは実行基盤。REPORTは出力/整形/配信。CIはジョブ設定/実行/成果物受渡し。</x:v>
      </x:c>
      <x:c r="D7" s="3" t="str">
        <x:v>標準レポート設定をBASEに含めた場合、REPORTの同じ設定を削除または差分化。</x:v>
      </x:c>
    </x:row>
    <x:row r="8" ht="88" customHeight="1">
      <x:c r="A8" s="6" t="str">
        <x:v>BOUND-07</x:v>
      </x:c>
      <x:c r="B8" s="6" t="str">
        <x:v>部品確認 × 全体安定化</x:v>
      </x:c>
      <x:c r="C8" s="6" t="str">
        <x:v>部品の動作確認は部品単価に含む。RUNはケース横断の干渉・並列性・運用確認。</x:v>
      </x:c>
      <x:c r="D8" s="6" t="str">
        <x:v>個別ケースの通常確認までRUNに再計上しない。</x:v>
      </x:c>
    </x:row>
    <x:row r="9" ht="88" customHeight="1">
      <x:c r="A9" s="3" t="str">
        <x:v>BOUND-08</x:v>
      </x:c>
      <x:c r="B9" s="3" t="str">
        <x:v>POM採用</x:v>
      </x:c>
      <x:c r="C9" s="3" t="str">
        <x:v>PAGE/COMPを必要に応じて抽出。FLOWやFIXとの依存を記録。</x:v>
      </x:c>
      <x:c r="D9" s="3" t="str">
        <x:v>URLの数をPOMの数として固定しない。採用を理由に全画面のPOMを自動生成しない。</x:v>
      </x:c>
    </x:row>
    <x:row r="10" ht="88" customHeight="1">
      <x:c r="A10" s="6" t="str">
        <x:v>BOUND-09</x:v>
      </x:c>
      <x:c r="B10" s="6" t="str">
        <x:v>POM不採用</x:v>
      </x:c>
      <x:c r="C10" s="6" t="str">
        <x:v>PAGEは対象外。再利用が必要なUI処理はCOMPまたはFLOW等に責務を定義して計上できる。</x:v>
      </x:c>
      <x:c r="D10" s="6" t="str">
        <x:v>クラスを使わないことを理由に共通UI実装そのものを0にしない。残りは個別ケース側へ。</x:v>
      </x:c>
    </x:row>
    <x:row r="11" ht="88" customHeight="1">
      <x:c r="A11" s="3" t="str">
        <x:v>BOUND-10</x:v>
      </x:c>
      <x:c r="B11" s="3" t="str">
        <x:v>POM比較</x:v>
      </x:c>
      <x:c r="C11" s="3" t="str">
        <x:v>採用案と不採用案を別scenario_idで見積もる。個別ケース工数への影響も各案で確認。</x:v>
      </x:c>
      <x:c r="D11" s="3" t="str">
        <x:v>案ごとの総工数を比較し、両案の作業を1つの合計に混在させない。</x:v>
      </x:c>
    </x:row>
    <x:row r="12" ht="88" customHeight="1">
      <x:c r="A12" s="6" t="str">
        <x:v>BOUND-11</x:v>
      </x:c>
      <x:c r="B12" s="6" t="str">
        <x:v>既存部品</x:v>
      </x:c>
      <x:c r="C12" s="6" t="str">
        <x:v>存在・適合性を確認できる部品は既存流用。変更が必要なら改修として差分を定義。</x:v>
      </x:c>
      <x:c r="D12" s="6" t="str">
        <x:v>新規実装0は既存流用だけの明示値。確認や組込みの工数まで0と決めない。</x:v>
      </x:c>
    </x:row>
    <x:row r="13" ht="88" customHeight="1">
      <x:c r="A13" s="3" t="str">
        <x:v>BOUND-12</x:v>
      </x:c>
      <x:c r="B13" s="3" t="str">
        <x:v>再利用回数</x:v>
      </x:c>
      <x:c r="C13" s="3" t="str">
        <x:v>共通部品は構成要素IDごとに1回。利用ケース数は参考情報。</x:v>
      </x:c>
      <x:c r="D13" s="3" t="str">
        <x:v>20ケースが使う1部品を20個として計上しない。</x:v>
      </x:c>
    </x:row>
    <x:row r="14" ht="88" customHeight="1">
      <x:c r="A14" s="6" t="str">
        <x:v>BOUND-13</x:v>
      </x:c>
      <x:c r="B14" s="6" t="str">
        <x:v>数量の集約</x:v>
      </x:c>
      <x:c r="C14" s="6" t="str">
        <x:v>同じ種別・難易度・責務境界の独立部品だけ数量でまとめられる。</x:v>
      </x:c>
      <x:c r="D14" s="6" t="str">
        <x:v>数量3なら3つの部品IDと判定理由を残す。異なる難易度は別行にする。</x:v>
      </x:c>
    </x:row>
    <x:row r="15" ht="88" customHeight="1">
      <x:c r="A15" s="3" t="str">
        <x:v>BOUND-14</x:v>
      </x:c>
      <x:c r="B15" s="3" t="str">
        <x:v>POC後の本実装</x:v>
      </x:c>
      <x:c r="C15" s="3" t="str">
        <x:v>POCは技術的な問いに対する調査時間枠。本実装は結果に基づいて別判定。</x:v>
      </x:c>
      <x:c r="D15" s="3" t="str">
        <x:v>試作コードを流用できるなら本実装側を差分化し、同じコードの開発を2回満額計上しない。</x:v>
      </x:c>
    </x:row>
    <x:row r="16" ht="88" customHeight="1">
      <x:c r="A16" s="6" t="str">
        <x:v>BOUND-15</x:v>
      </x:c>
      <x:c r="B16" s="6" t="str">
        <x:v>PAGEの数え方</x:v>
      </x:c>
      <x:c r="C16" s="6" t="str">
        <x:v>PAGEの構成要素は、ケースまたは共通部品が自身で操作・状態取得する画面1つにつき1（例 PG-Login）。同じURL内のモーダル・タブ・入力確認表示は同じ画面に含め、URLが変わる画面は別に数える。項目書に現れない画面・通過するだけの画面は数えない。</x:v>
      </x:c>
      <x:c r="D16" s="6" t="str">
        <x:v>PAGE部品の分け方によらず、数量の合計は画面数と一致させる。個別ケースのAX-01で列挙する画面はこの構成要素から選ぶ。2026-10-11追記（SQ-02、PoC用の仮ルール）。</x:v>
      </x:c>
    </x:row>
    <x:row r="17" ht="88" customHeight="1">
      <x:c r="A17" s="3" t="str">
        <x:v>BOUND-16</x:v>
      </x:c>
      <x:c r="B17" s="3" t="str">
        <x:v>COMPの立て方</x:v>
      </x:c>
      <x:c r="C17" s="3" t="str">
        <x:v>2つ以上のケースが使い、2つ以上の画面に現れるUI（共通ヘッダー・フッター・購読欄・共通ダイアログ等）だけをCOMPにする。1画面だけのUIはその画面のPAGEに含める。</x:v>
      </x:c>
      <x:c r="D17" s="3" t="str">
        <x:v>条件を満たさないUIを別部品にして重ねて計上しない。2026-10-11追記（SQ-02、PoC用の仮ルール）。</x:v>
      </x:c>
    </x:row>
    <x:row r="18" ht="88" customHeight="1">
      <x:c r="A18" s="6" t="str">
        <x:v>BOUND-17</x:v>
      </x:c>
      <x:c r="B18" s="6" t="str">
        <x:v>FLOWの立て方</x:v>
      </x:c>
      <x:c r="C18" s="6" t="str">
        <x:v>2つ以上のケース（または共通部品）が前提として呼ぶ業務操作列だけをFLOWにする。1ケースだけが使う操作列はケース内に置く。</x:v>
      </x:c>
      <x:c r="D18" s="6" t="str">
        <x:v>FLOWに委ねた操作列は、個別ケースのAX-01で数えない（個別基準 COST-12）。2026-10-11追記（SQ-02、PoC用の仮ルール）。</x:v>
      </x:c>
    </x:row>
    <x:row r="19" ht="88" customHeight="1">
      <x:c r="A19" s="3" t="str">
        <x:v>BOUND-18</x:v>
      </x:c>
      <x:c r="B19" s="3" t="str">
        <x:v>RUNの要否</x:v>
      </x:c>
      <x:c r="C19" s="3" t="str">
        <x:v>複数ケースを一連の自動テストとして納める案件では、RUNを1式必ず計上する。単一環境の逐次実行ならLow、並列実行・複数環境が要件ならMid。</x:v>
      </x:c>
      <x:c r="D19" s="3" t="str">
        <x:v>要件が不明でも単一環境の逐次実行を仮定して計上し、仮定を質問に残す。2026-10-11追記（SQ-02、PoC用の仮ルール）。</x:v>
      </x:c>
    </x:row>
    <x:row r="20" ht="88" customHeight="1">
      <x:c r="A20" s="6" t="str">
        <x:v>BOUND-19</x:v>
      </x:c>
      <x:c r="B20" s="6" t="str">
        <x:v>PAGEの難易度</x:v>
      </x:c>
      <x:c r="C20" s="6" t="str">
        <x:v>PAGEの難易度は画面（構成要素）ごとに判定する。iframe・複雑な動的UI（ドラッグ、仮想スクロール等）を扱えばHigh。件数・内容が変わる一覧や検索結果、モーダル・確認ダイアログ、ファイル操作のいずれかを扱うか、ケース・共通部品がその画面で操作する入力・選択項目が6個以上ならMid。それ以外はLow。</x:v>
      </x:c>
      <x:c r="D20" s="6" t="str">
        <x:v>入力・選択項目の数は項目書と入力値定義から数え、画面ごとの特徴（項目数・一覧・ダイアログ・ファイル・フレーム）を記録する。難易度の違う画面を1つのPAGE部品にまとめない（BOUND-13）。2026-10-11追記（SQ-04、PoC用の仮ルール）。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.109999656677246" hidden="0" customWidth="1"/>
    <x:col min="2" max="2" width="17.219999313354492" hidden="0" customWidth="1"/>
    <x:col min="3" max="3" width="10" hidden="0" customWidth="1"/>
    <x:col min="4" max="4" width="12.220000267028809" hidden="0" customWidth="1"/>
    <x:col min="5" max="5" width="12.779999732971191" hidden="0" customWidth="1"/>
    <x:col min="6" max="6" width="13.890000343322754" hidden="0" customWidth="1"/>
    <x:col min="7" max="7" width="7.78000020980835" hidden="0" customWidth="1"/>
    <x:col min="8" max="8" width="57.779998779296875" hidden="0" customWidth="1"/>
    <x:col min="9" max="9" width="18.889999389648438" hidden="0" customWidth="1"/>
    <x:col min="10" max="10" width="18.329999923706055" hidden="0" customWidth="1"/>
    <x:col min="11" max="11" width="11.109999656677246" hidden="0" customWidth="1"/>
    <x:col min="12" max="12" width="11.109999656677246" hidden="0" customWidth="1"/>
    <x:col min="13" max="13" width="11.109999656677246" hidden="0" customWidth="1"/>
    <x:col min="14" max="14" width="11.109999656677246" hidden="0" customWidth="1"/>
    <x:col min="15" max="15" width="11.109999656677246" hidden="0" customWidth="1"/>
    <x:col min="16" max="16" width="11.109999656677246" hidden="0" customWidth="1"/>
  </x:cols>
  <x:sheetData>
    <x:row r="1" ht="34" customHeight="1">
      <x:c r="A1" s="5" t="str">
        <x:v>作業ID</x:v>
      </x:c>
      <x:c r="B1" s="5" t="str">
        <x:v>シナリオ</x:v>
      </x:c>
      <x:c r="C1" s="5" t="str">
        <x:v>種別ID</x:v>
      </x:c>
      <x:c r="D1" s="5" t="str">
        <x:v>難易度</x:v>
      </x:c>
      <x:c r="E1" s="5" t="str">
        <x:v>実装区分</x:v>
      </x:c>
      <x:c r="F1" s="5" t="str">
        <x:v>見積状態</x:v>
      </x:c>
      <x:c r="G1" s="5" t="str">
        <x:v>数量</x:v>
      </x:c>
      <x:c r="H1" s="5" t="str">
        <x:v>根拠・責務</x:v>
      </x:c>
      <x:c r="I1" s="5" t="str">
        <x:v>依存/統合先</x:v>
      </x:c>
      <x:c r="J1" s="5" t="str">
        <x:v>参照キー</x:v>
      </x:c>
      <x:c r="K1" s="5" t="str">
        <x:v>下限単価</x:v>
      </x:c>
      <x:c r="L1" s="5" t="str">
        <x:v>標準単価</x:v>
      </x:c>
      <x:c r="M1" s="5" t="str">
        <x:v>上限単価</x:v>
      </x:c>
      <x:c r="N1" s="5" t="str">
        <x:v>下限小計</x:v>
      </x:c>
      <x:c r="O1" s="5" t="str">
        <x:v>標準小計</x:v>
      </x:c>
      <x:c r="P1" s="5" t="str">
        <x:v>上限小計</x:v>
      </x:c>
    </x:row>
    <x:row r="2" ht="88" customHeight="1">
      <x:c r="A2" s="6" t="str">
        <x:v>EX-01</x:v>
      </x:c>
      <x:c r="B2" s="6" t="str">
        <x:v>SAMPLE-POM</x:v>
      </x:c>
      <x:c r="C2" s="6" t="str">
        <x:v>BASE</x:v>
      </x:c>
      <x:c r="D2" s="6" t="str">
        <x:v>Low</x:v>
      </x:c>
      <x:c r="E2" s="6" t="str">
        <x:v>新規</x:v>
      </x:c>
      <x:c r="F2" s="6" t="str">
        <x:v>確定可能</x:v>
      </x:c>
      <x:c r="G2" s="6" t="n">
        <x:v>1</x:v>
      </x:c>
      <x:c r="H2" s="6" t="str">
        <x:v>単一プロジェクトの基盤</x:v>
      </x:c>
      <x:c r="I2" s="6" t="str">
        <x:v>なし</x:v>
      </x:c>
      <x:c r="J2" s="6" t="str">
        <x:f>IF(AND(OR(E2="新規",E2="改修"),F2&lt;&gt;"要確認",OR(D2="Low",D2="Mid",D2="High")),C2&amp;"|"&amp;D2,"")</x:f>
        <x:v>BASE|Low</x:v>
      </x:c>
      <x:c r="K2" s="11" t="n">
        <x:f>IF(J2&lt;&gt;"",VLOOKUP(J2,'工数表'!$A$2:$H$43,6,FALSE),IF(E2="既存流用",0,""))</x:f>
        <x:v>2</x:v>
      </x:c>
      <x:c r="L2" s="11" t="n">
        <x:f>IF(J2&lt;&gt;"",VLOOKUP(J2,'工数表'!$A$2:$H$43,7,FALSE),IF(E2="既存流用",0,""))</x:f>
        <x:v>4</x:v>
      </x:c>
      <x:c r="M2" s="11" t="n">
        <x:f>IF(J2&lt;&gt;"",VLOOKUP(J2,'工数表'!$A$2:$H$43,8,FALSE),IF(E2="既存流用",0,""))</x:f>
        <x:v>6</x:v>
      </x:c>
      <x:c r="N2" s="11" t="n">
        <x:f>IF(ISNUMBER(K2),G2*K2,"")</x:f>
        <x:v>2</x:v>
      </x:c>
      <x:c r="O2" s="11" t="n">
        <x:f>IF(ISNUMBER(L2),G2*L2,"")</x:f>
        <x:v>4</x:v>
      </x:c>
      <x:c r="P2" s="11" t="n">
        <x:f>IF(ISNUMBER(M2),G2*M2,"")</x:f>
        <x:v>6</x:v>
      </x:c>
    </x:row>
    <x:row r="3" ht="88" customHeight="1">
      <x:c r="A3" s="3" t="str">
        <x:v>EX-02</x:v>
      </x:c>
      <x:c r="B3" s="3" t="str">
        <x:v>SAMPLE-POM</x:v>
      </x:c>
      <x:c r="C3" s="3" t="str">
        <x:v>AUTH</x:v>
      </x:c>
      <x:c r="D3" s="3" t="str">
        <x:v>Mid</x:v>
      </x:c>
      <x:c r="E3" s="3" t="str">
        <x:v>新規</x:v>
      </x:c>
      <x:c r="F3" s="3" t="str">
        <x:v>確定可能</x:v>
      </x:c>
      <x:c r="G3" s="3" t="n">
        <x:v>1</x:v>
      </x:c>
      <x:c r="H3" s="3" t="str">
        <x:v>ロール別セッション管理</x:v>
      </x:c>
      <x:c r="I3" s="3" t="str">
        <x:v>EX-01</x:v>
      </x:c>
      <x:c r="J3" s="3" t="str">
        <x:f>IF(AND(OR(E3="新規",E3="改修"),F3&lt;&gt;"要確認",OR(D3="Low",D3="Mid",D3="High")),C3&amp;"|"&amp;D3,"")</x:f>
        <x:v>AUTH|Mid</x:v>
      </x:c>
      <x:c r="K3" s="12" t="n">
        <x:f>IF(J3&lt;&gt;"",VLOOKUP(J3,'工数表'!$A$2:$H$43,6,FALSE),IF(E3="既存流用",0,""))</x:f>
        <x:v>5</x:v>
      </x:c>
      <x:c r="L3" s="12" t="n">
        <x:f>IF(J3&lt;&gt;"",VLOOKUP(J3,'工数表'!$A$2:$H$43,7,FALSE),IF(E3="既存流用",0,""))</x:f>
        <x:v>8</x:v>
      </x:c>
      <x:c r="M3" s="12" t="n">
        <x:f>IF(J3&lt;&gt;"",VLOOKUP(J3,'工数表'!$A$2:$H$43,8,FALSE),IF(E3="既存流用",0,""))</x:f>
        <x:v>12</x:v>
      </x:c>
      <x:c r="N3" s="12" t="n">
        <x:f>IF(ISNUMBER(K3),G3*K3,"")</x:f>
        <x:v>5</x:v>
      </x:c>
      <x:c r="O3" s="12" t="n">
        <x:f>IF(ISNUMBER(L3),G3*L3,"")</x:f>
        <x:v>8</x:v>
      </x:c>
      <x:c r="P3" s="12" t="n">
        <x:f>IF(ISNUMBER(M3),G3*M3,"")</x:f>
        <x:v>12</x:v>
      </x:c>
    </x:row>
    <x:row r="4" ht="88" customHeight="1">
      <x:c r="A4" s="6" t="str">
        <x:v>EX-03</x:v>
      </x:c>
      <x:c r="B4" s="6" t="str">
        <x:v>SAMPLE-POM</x:v>
      </x:c>
      <x:c r="C4" s="6" t="str">
        <x:v>FIX</x:v>
      </x:c>
      <x:c r="D4" s="6" t="str">
        <x:v>Mid</x:v>
      </x:c>
      <x:c r="E4" s="6" t="str">
        <x:v>新規</x:v>
      </x:c>
      <x:c r="F4" s="6" t="str">
        <x:v>確定可能</x:v>
      </x:c>
      <x:c r="G4" s="6" t="n">
        <x:v>1</x:v>
      </x:c>
      <x:c r="H4" s="6" t="str">
        <x:v>既存認証/データ処理の順序と解放を管理</x:v>
      </x:c>
      <x:c r="I4" s="6" t="str">
        <x:v>EX-02, EX-04</x:v>
      </x:c>
      <x:c r="J4" s="6" t="str">
        <x:f>IF(AND(OR(E4="新規",E4="改修"),F4&lt;&gt;"要確認",OR(D4="Low",D4="Mid",D4="High")),C4&amp;"|"&amp;D4,"")</x:f>
        <x:v>FIX|Mid</x:v>
      </x:c>
      <x:c r="K4" s="11" t="n">
        <x:f>IF(J4&lt;&gt;"",VLOOKUP(J4,'工数表'!$A$2:$H$43,6,FALSE),IF(E4="既存流用",0,""))</x:f>
        <x:v>3</x:v>
      </x:c>
      <x:c r="L4" s="11" t="n">
        <x:f>IF(J4&lt;&gt;"",VLOOKUP(J4,'工数表'!$A$2:$H$43,7,FALSE),IF(E4="既存流用",0,""))</x:f>
        <x:v>5</x:v>
      </x:c>
      <x:c r="M4" s="11" t="n">
        <x:f>IF(J4&lt;&gt;"",VLOOKUP(J4,'工数表'!$A$2:$H$43,8,FALSE),IF(E4="既存流用",0,""))</x:f>
        <x:v>8</x:v>
      </x:c>
      <x:c r="N4" s="11" t="n">
        <x:f>IF(ISNUMBER(K4),G4*K4,"")</x:f>
        <x:v>3</x:v>
      </x:c>
      <x:c r="O4" s="11" t="n">
        <x:f>IF(ISNUMBER(L4),G4*L4,"")</x:f>
        <x:v>5</x:v>
      </x:c>
      <x:c r="P4" s="11" t="n">
        <x:f>IF(ISNUMBER(M4),G4*M4,"")</x:f>
        <x:v>8</x:v>
      </x:c>
    </x:row>
    <x:row r="5" ht="88" customHeight="1">
      <x:c r="A5" s="3" t="str">
        <x:v>EX-04</x:v>
      </x:c>
      <x:c r="B5" s="3" t="str">
        <x:v>SAMPLE-POM</x:v>
      </x:c>
      <x:c r="C5" s="3" t="str">
        <x:v>DATA</x:v>
      </x:c>
      <x:c r="D5" s="3" t="str">
        <x:v>Low</x:v>
      </x:c>
      <x:c r="E5" s="3" t="str">
        <x:v>新規</x:v>
      </x:c>
      <x:c r="F5" s="3" t="str">
        <x:v>確定可能</x:v>
      </x:c>
      <x:c r="G5" s="3" t="n">
        <x:v>1</x:v>
      </x:c>
      <x:c r="H5" s="3" t="str">
        <x:v>独立データ生成と削除</x:v>
      </x:c>
      <x:c r="I5" s="3" t="str">
        <x:v>EX-01</x:v>
      </x:c>
      <x:c r="J5" s="3" t="str">
        <x:f>IF(AND(OR(E5="新規",E5="改修"),F5&lt;&gt;"要確認",OR(D5="Low",D5="Mid",D5="High")),C5&amp;"|"&amp;D5,"")</x:f>
        <x:v>DATA|Low</x:v>
      </x:c>
      <x:c r="K5" s="12" t="n">
        <x:f>IF(J5&lt;&gt;"",VLOOKUP(J5,'工数表'!$A$2:$H$43,6,FALSE),IF(E5="既存流用",0,""))</x:f>
        <x:v>1</x:v>
      </x:c>
      <x:c r="L5" s="12" t="n">
        <x:f>IF(J5&lt;&gt;"",VLOOKUP(J5,'工数表'!$A$2:$H$43,7,FALSE),IF(E5="既存流用",0,""))</x:f>
        <x:v>2</x:v>
      </x:c>
      <x:c r="M5" s="12" t="n">
        <x:f>IF(J5&lt;&gt;"",VLOOKUP(J5,'工数表'!$A$2:$H$43,8,FALSE),IF(E5="既存流用",0,""))</x:f>
        <x:v>4</x:v>
      </x:c>
      <x:c r="N5" s="12" t="n">
        <x:f>IF(ISNUMBER(K5),G5*K5,"")</x:f>
        <x:v>1</x:v>
      </x:c>
      <x:c r="O5" s="12" t="n">
        <x:f>IF(ISNUMBER(L5),G5*L5,"")</x:f>
        <x:v>2</x:v>
      </x:c>
      <x:c r="P5" s="12" t="n">
        <x:f>IF(ISNUMBER(M5),G5*M5,"")</x:f>
        <x:v>4</x:v>
      </x:c>
    </x:row>
    <x:row r="6" ht="88" customHeight="1">
      <x:c r="A6" s="6" t="str">
        <x:v>EX-05</x:v>
      </x:c>
      <x:c r="B6" s="6" t="str">
        <x:v>SAMPLE-POM</x:v>
      </x:c>
      <x:c r="C6" s="6" t="str">
        <x:v>PAGE</x:v>
      </x:c>
      <x:c r="D6" s="6" t="str">
        <x:v>Low</x:v>
      </x:c>
      <x:c r="E6" s="6" t="str">
        <x:v>新規</x:v>
      </x:c>
      <x:c r="F6" s="6" t="str">
        <x:v>確定可能</x:v>
      </x:c>
      <x:c r="G6" s="6" t="n">
        <x:v>2</x:v>
      </x:c>
      <x:c r="H6" s="6" t="str">
        <x:v>PAGE-AとPAGE-Bの2責務、各Low</x:v>
      </x:c>
      <x:c r="I6" s="6" t="str">
        <x:v>EX-01</x:v>
      </x:c>
      <x:c r="J6" s="6" t="str">
        <x:f>IF(AND(OR(E6="新規",E6="改修"),F6&lt;&gt;"要確認",OR(D6="Low",D6="Mid",D6="High")),C6&amp;"|"&amp;D6,"")</x:f>
        <x:v>PAGE|Low</x:v>
      </x:c>
      <x:c r="K6" s="11" t="n">
        <x:f>IF(J6&lt;&gt;"",VLOOKUP(J6,'工数表'!$A$2:$H$43,6,FALSE),IF(E6="既存流用",0,""))</x:f>
        <x:v>1</x:v>
      </x:c>
      <x:c r="L6" s="11" t="n">
        <x:f>IF(J6&lt;&gt;"",VLOOKUP(J6,'工数表'!$A$2:$H$43,7,FALSE),IF(E6="既存流用",0,""))</x:f>
        <x:v>2</x:v>
      </x:c>
      <x:c r="M6" s="11" t="n">
        <x:f>IF(J6&lt;&gt;"",VLOOKUP(J6,'工数表'!$A$2:$H$43,8,FALSE),IF(E6="既存流用",0,""))</x:f>
        <x:v>4</x:v>
      </x:c>
      <x:c r="N6" s="11" t="n">
        <x:f>IF(ISNUMBER(K6),G6*K6,"")</x:f>
        <x:v>2</x:v>
      </x:c>
      <x:c r="O6" s="11" t="n">
        <x:f>IF(ISNUMBER(L6),G6*L6,"")</x:f>
        <x:v>4</x:v>
      </x:c>
      <x:c r="P6" s="11" t="n">
        <x:f>IF(ISNUMBER(M6),G6*M6,"")</x:f>
        <x:v>8</x:v>
      </x:c>
    </x:row>
    <x:row r="7" ht="88" customHeight="1">
      <x:c r="A7" s="3" t="str">
        <x:v>EX-06</x:v>
      </x:c>
      <x:c r="B7" s="3" t="str">
        <x:v>SAMPLE-POM</x:v>
      </x:c>
      <x:c r="C7" s="3" t="str">
        <x:v>FLOW</x:v>
      </x:c>
      <x:c r="D7" s="3" t="str">
        <x:v>Mid</x:v>
      </x:c>
      <x:c r="E7" s="3" t="str">
        <x:v>新規</x:v>
      </x:c>
      <x:c r="F7" s="3" t="str">
        <x:v>条件付き</x:v>
      </x:c>
      <x:c r="G7" s="3" t="n">
        <x:v>1</x:v>
      </x:c>
      <x:c r="H7" s="3" t="str">
        <x:v>UI構造の仮定に基づく画面横断フロー</x:v>
      </x:c>
      <x:c r="I7" s="3" t="str">
        <x:v>EX-05</x:v>
      </x:c>
      <x:c r="J7" s="3" t="str">
        <x:f>IF(AND(OR(E7="新規",E7="改修"),F7&lt;&gt;"要確認",OR(D7="Low",D7="Mid",D7="High")),C7&amp;"|"&amp;D7,"")</x:f>
        <x:v>FLOW|Mid</x:v>
      </x:c>
      <x:c r="K7" s="12" t="n">
        <x:f>IF(J7&lt;&gt;"",VLOOKUP(J7,'工数表'!$A$2:$H$43,6,FALSE),IF(E7="既存流用",0,""))</x:f>
        <x:v>4</x:v>
      </x:c>
      <x:c r="L7" s="12" t="n">
        <x:f>IF(J7&lt;&gt;"",VLOOKUP(J7,'工数表'!$A$2:$H$43,7,FALSE),IF(E7="既存流用",0,""))</x:f>
        <x:v>7</x:v>
      </x:c>
      <x:c r="M7" s="12" t="n">
        <x:f>IF(J7&lt;&gt;"",VLOOKUP(J7,'工数表'!$A$2:$H$43,8,FALSE),IF(E7="既存流用",0,""))</x:f>
        <x:v>12</x:v>
      </x:c>
      <x:c r="N7" s="12" t="n">
        <x:f>IF(ISNUMBER(K7),G7*K7,"")</x:f>
        <x:v>4</x:v>
      </x:c>
      <x:c r="O7" s="12" t="n">
        <x:f>IF(ISNUMBER(L7),G7*L7,"")</x:f>
        <x:v>7</x:v>
      </x:c>
      <x:c r="P7" s="12" t="n">
        <x:f>IF(ISNUMBER(M7),G7*M7,"")</x:f>
        <x:v>12</x:v>
      </x:c>
    </x:row>
    <x:row r="8" ht="88" customHeight="1">
      <x:c r="A8" s="6" t="str">
        <x:v>EX-07</x:v>
      </x:c>
      <x:c r="B8" s="6" t="str">
        <x:v>SAMPLE-POM</x:v>
      </x:c>
      <x:c r="C8" s="6" t="str">
        <x:v>CI</x:v>
      </x:c>
      <x:c r="D8" s="6"/>
      <x:c r="E8" s="6" t="str">
        <x:v>要確認</x:v>
      </x:c>
      <x:c r="F8" s="6" t="str">
        <x:v>要確認</x:v>
      </x:c>
      <x:c r="G8" s="6" t="n">
        <x:v>1</x:v>
      </x:c>
      <x:c r="H8" s="6" t="str">
        <x:v>CI方式・runner条件が未提示</x:v>
      </x:c>
      <x:c r="I8" s="6" t="str">
        <x:v>なし</x:v>
      </x:c>
      <x:c r="J8" s="6" t="str">
        <x:f>IF(AND(OR(E8="新規",E8="改修"),F8&lt;&gt;"要確認",OR(D8="Low",D8="Mid",D8="High")),C8&amp;"|"&amp;D8,"")</x:f>
      </x:c>
      <x:c r="K8" s="11" t="str">
        <x:f>IF(J8&lt;&gt;"",VLOOKUP(J8,'工数表'!$A$2:$H$43,6,FALSE),IF(E8="既存流用",0,""))</x:f>
      </x:c>
      <x:c r="L8" s="11" t="str">
        <x:f>IF(J8&lt;&gt;"",VLOOKUP(J8,'工数表'!$A$2:$H$43,7,FALSE),IF(E8="既存流用",0,""))</x:f>
      </x:c>
      <x:c r="M8" s="11" t="str">
        <x:f>IF(J8&lt;&gt;"",VLOOKUP(J8,'工数表'!$A$2:$H$43,8,FALSE),IF(E8="既存流用",0,""))</x:f>
      </x:c>
      <x:c r="N8" s="11" t="str">
        <x:f>IF(ISNUMBER(K8),G8*K8,"")</x:f>
      </x:c>
      <x:c r="O8" s="11" t="str">
        <x:f>IF(ISNUMBER(L8),G8*L8,"")</x:f>
      </x:c>
      <x:c r="P8" s="11" t="str">
        <x:f>IF(ISNUMBER(M8),G8*M8,"")</x:f>
      </x:c>
    </x:row>
    <x:row r="9" ht="88" customHeight="1">
      <x:c r="A9" s="3" t="str">
        <x:v>EX-08</x:v>
      </x:c>
      <x:c r="B9" s="3" t="str">
        <x:v>SAMPLE-POM</x:v>
      </x:c>
      <x:c r="C9" s="3" t="str">
        <x:v>EXT</x:v>
      </x:c>
      <x:c r="D9" s="3" t="str">
        <x:v>Impossible</x:v>
      </x:c>
      <x:c r="E9" s="3" t="str">
        <x:v>新規</x:v>
      </x:c>
      <x:c r="F9" s="3" t="str">
        <x:v>確定可能</x:v>
      </x:c>
      <x:c r="G9" s="3" t="n">
        <x:v>1</x:v>
      </x:c>
      <x:c r="H9" s="3" t="str">
        <x:v>合意範囲で外部参照を行う手段が全て不可と確認済</x:v>
      </x:c>
      <x:c r="I9" s="3" t="str">
        <x:v>なし</x:v>
      </x:c>
      <x:c r="J9" s="3" t="str">
        <x:f>IF(AND(OR(E9="新規",E9="改修"),F9&lt;&gt;"要確認",OR(D9="Low",D9="Mid",D9="High")),C9&amp;"|"&amp;D9,"")</x:f>
      </x:c>
      <x:c r="K9" s="12" t="str">
        <x:f>IF(J9&lt;&gt;"",VLOOKUP(J9,'工数表'!$A$2:$H$43,6,FALSE),IF(E9="既存流用",0,""))</x:f>
      </x:c>
      <x:c r="L9" s="12" t="str">
        <x:f>IF(J9&lt;&gt;"",VLOOKUP(J9,'工数表'!$A$2:$H$43,7,FALSE),IF(E9="既存流用",0,""))</x:f>
      </x:c>
      <x:c r="M9" s="12" t="str">
        <x:f>IF(J9&lt;&gt;"",VLOOKUP(J9,'工数表'!$A$2:$H$43,8,FALSE),IF(E9="既存流用",0,""))</x:f>
      </x:c>
      <x:c r="N9" s="12" t="str">
        <x:f>IF(ISNUMBER(K9),G9*K9,"")</x:f>
      </x:c>
      <x:c r="O9" s="12" t="str">
        <x:f>IF(ISNUMBER(L9),G9*L9,"")</x:f>
      </x:c>
      <x:c r="P9" s="12" t="str">
        <x:f>IF(ISNUMBER(M9),G9*M9,"")</x:f>
      </x:c>
    </x:row>
    <x:row r="10" ht="88" customHeight="1">
      <x:c r="A10" s="6" t="str">
        <x:v>EX-09</x:v>
      </x:c>
      <x:c r="B10" s="6" t="str">
        <x:v>SAMPLE-POM</x:v>
      </x:c>
      <x:c r="C10" s="6" t="str">
        <x:v>UTIL</x:v>
      </x:c>
      <x:c r="D10" s="6"/>
      <x:c r="E10" s="6" t="str">
        <x:v>既存流用</x:v>
      </x:c>
      <x:c r="F10" s="6" t="str">
        <x:v>確定可能</x:v>
      </x:c>
      <x:c r="G10" s="6" t="n">
        <x:v>1</x:v>
      </x:c>
      <x:c r="H10" s="6" t="str">
        <x:v>適合性確認済の既存関数。組込みはFLOW内</x:v>
      </x:c>
      <x:c r="I10" s="6" t="str">
        <x:v>EX-06</x:v>
      </x:c>
      <x:c r="J10" s="6" t="str">
        <x:f>IF(AND(OR(E10="新規",E10="改修"),F10&lt;&gt;"要確認",OR(D10="Low",D10="Mid",D10="High")),C10&amp;"|"&amp;D10,"")</x:f>
      </x:c>
      <x:c r="K10" s="11" t="n">
        <x:f>IF(J10&lt;&gt;"",VLOOKUP(J10,'工数表'!$A$2:$H$43,6,FALSE),IF(E10="既存流用",0,""))</x:f>
        <x:v>0</x:v>
      </x:c>
      <x:c r="L10" s="11" t="n">
        <x:f>IF(J10&lt;&gt;"",VLOOKUP(J10,'工数表'!$A$2:$H$43,7,FALSE),IF(E10="既存流用",0,""))</x:f>
        <x:v>0</x:v>
      </x:c>
      <x:c r="M10" s="11" t="n">
        <x:f>IF(J10&lt;&gt;"",VLOOKUP(J10,'工数表'!$A$2:$H$43,8,FALSE),IF(E10="既存流用",0,""))</x:f>
        <x:v>0</x:v>
      </x:c>
      <x:c r="N10" s="11" t="n">
        <x:f>IF(ISNUMBER(K10),G10*K10,"")</x:f>
        <x:v>0</x:v>
      </x:c>
      <x:c r="O10" s="11" t="n">
        <x:f>IF(ISNUMBER(L10),G10*L10,"")</x:f>
        <x:v>0</x:v>
      </x:c>
      <x:c r="P10" s="11" t="n">
        <x:f>IF(ISNUMBER(M10),G10*M10,"")</x:f>
        <x:v>0</x:v>
      </x:c>
    </x:row>
    <x:row r="11" ht="88" customHeight="1">
      <x:c r="A11" s="3" t="str">
        <x:v>EX-10</x:v>
      </x:c>
      <x:c r="B11" s="3" t="str">
        <x:v>SAMPLE-POM</x:v>
      </x:c>
      <x:c r="C11" s="3" t="str">
        <x:v>REPORT</x:v>
      </x:c>
      <x:c r="D11" s="3"/>
      <x:c r="E11" s="3" t="str">
        <x:v>対象外</x:v>
      </x:c>
      <x:c r="F11" s="3" t="str">
        <x:v>確定可能</x:v>
      </x:c>
      <x:c r="G11" s="3" t="n">
        <x:v>1</x:v>
      </x:c>
      <x:c r="H11" s="3" t="str">
        <x:v>標準レポート設定はBASE内に含める</x:v>
      </x:c>
      <x:c r="I11" s="3" t="str">
        <x:v>EX-01</x:v>
      </x:c>
      <x:c r="J11" s="3" t="str">
        <x:f>IF(AND(OR(E11="新規",E11="改修"),F11&lt;&gt;"要確認",OR(D11="Low",D11="Mid",D11="High")),C11&amp;"|"&amp;D11,"")</x:f>
      </x:c>
      <x:c r="K11" s="12" t="str">
        <x:f>IF(J11&lt;&gt;"",VLOOKUP(J11,'工数表'!$A$2:$H$43,6,FALSE),IF(E11="既存流用",0,""))</x:f>
      </x:c>
      <x:c r="L11" s="12" t="str">
        <x:f>IF(J11&lt;&gt;"",VLOOKUP(J11,'工数表'!$A$2:$H$43,7,FALSE),IF(E11="既存流用",0,""))</x:f>
      </x:c>
      <x:c r="M11" s="12" t="str">
        <x:f>IF(J11&lt;&gt;"",VLOOKUP(J11,'工数表'!$A$2:$H$43,8,FALSE),IF(E11="既存流用",0,""))</x:f>
      </x:c>
      <x:c r="N11" s="12" t="str">
        <x:f>IF(ISNUMBER(K11),G11*K11,"")</x:f>
      </x:c>
      <x:c r="O11" s="12" t="str">
        <x:f>IF(ISNUMBER(L11),G11*L11,"")</x:f>
      </x:c>
      <x:c r="P11" s="12" t="str">
        <x:f>IF(ISNUMBER(M11),G11*M11,"")</x:f>
      </x:c>
    </x:row>
    <x:row r="12" ht="88" customHeight="1">
      <x:c r="A12" s="6" t="str">
        <x:v>EX-11</x:v>
      </x:c>
      <x:c r="B12" s="6" t="str">
        <x:v>SAMPLE-POM</x:v>
      </x:c>
      <x:c r="C12" s="6" t="str">
        <x:v>COMP</x:v>
      </x:c>
      <x:c r="D12" s="6" t="str">
        <x:v>Mid</x:v>
      </x:c>
      <x:c r="E12" s="6" t="str">
        <x:v>改修</x:v>
      </x:c>
      <x:c r="F12" s="6" t="str">
        <x:v>確定可能</x:v>
      </x:c>
      <x:c r="G12" s="6" t="n">
        <x:v>1</x:v>
      </x:c>
      <x:c r="H12" s="6" t="str">
        <x:v>既存の共通表にフィルター機能を追加</x:v>
      </x:c>
      <x:c r="I12" s="6" t="str">
        <x:v>EX-05</x:v>
      </x:c>
      <x:c r="J12" s="6" t="str">
        <x:f>IF(AND(OR(E12="新規",E12="改修"),F12&lt;&gt;"要確認",OR(D12="Low",D12="Mid",D12="High")),C12&amp;"|"&amp;D12,"")</x:f>
        <x:v>COMP|Mid</x:v>
      </x:c>
      <x:c r="K12" s="11" t="n">
        <x:f>IF(J12&lt;&gt;"",VLOOKUP(J12,'工数表'!$A$2:$H$43,6,FALSE),IF(E12="既存流用",0,""))</x:f>
        <x:v>3</x:v>
      </x:c>
      <x:c r="L12" s="11" t="n">
        <x:f>IF(J12&lt;&gt;"",VLOOKUP(J12,'工数表'!$A$2:$H$43,7,FALSE),IF(E12="既存流用",0,""))</x:f>
        <x:v>5</x:v>
      </x:c>
      <x:c r="M12" s="11" t="n">
        <x:f>IF(J12&lt;&gt;"",VLOOKUP(J12,'工数表'!$A$2:$H$43,8,FALSE),IF(E12="既存流用",0,""))</x:f>
        <x:v>8</x:v>
      </x:c>
      <x:c r="N12" s="11" t="n">
        <x:f>IF(ISNUMBER(K12),G12*K12,"")</x:f>
        <x:v>3</x:v>
      </x:c>
      <x:c r="O12" s="11" t="n">
        <x:f>IF(ISNUMBER(L12),G12*L12,"")</x:f>
        <x:v>5</x:v>
      </x:c>
      <x:c r="P12" s="11" t="n">
        <x:f>IF(ISNUMBER(M12),G12*M12,"")</x:f>
        <x:v>8</x:v>
      </x:c>
    </x:row>
    <x:row r="13" ht="88" customHeight="1">
      <x:c r="A13" s="3" t="str">
        <x:v>EX-12</x:v>
      </x:c>
      <x:c r="B13" s="3" t="str">
        <x:v>SAMPLE-POM</x:v>
      </x:c>
      <x:c r="C13" s="3" t="str">
        <x:v>RUN</x:v>
      </x:c>
      <x:c r="D13" s="3" t="str">
        <x:v>Low</x:v>
      </x:c>
      <x:c r="E13" s="3" t="str">
        <x:v>新規</x:v>
      </x:c>
      <x:c r="F13" s="3" t="str">
        <x:v>確定可能</x:v>
      </x:c>
      <x:c r="G13" s="3" t="n">
        <x:v>1</x:v>
      </x:c>
      <x:c r="H13" s="3" t="str">
        <x:v>単一環境でケース横断の確認</x:v>
      </x:c>
      <x:c r="I13" s="3" t="str">
        <x:v>EX-01</x:v>
      </x:c>
      <x:c r="J13" s="3" t="str">
        <x:f>IF(AND(OR(E13="新規",E13="改修"),F13&lt;&gt;"要確認",OR(D13="Low",D13="Mid",D13="High")),C13&amp;"|"&amp;D13,"")</x:f>
        <x:v>RUN|Low</x:v>
      </x:c>
      <x:c r="K13" s="12" t="n">
        <x:f>IF(J13&lt;&gt;"",VLOOKUP(J13,'工数表'!$A$2:$H$43,6,FALSE),IF(E13="既存流用",0,""))</x:f>
        <x:v>2</x:v>
      </x:c>
      <x:c r="L13" s="12" t="n">
        <x:f>IF(J13&lt;&gt;"",VLOOKUP(J13,'工数表'!$A$2:$H$43,7,FALSE),IF(E13="既存流用",0,""))</x:f>
        <x:v>4</x:v>
      </x:c>
      <x:c r="M13" s="12" t="n">
        <x:f>IF(J13&lt;&gt;"",VLOOKUP(J13,'工数表'!$A$2:$H$43,8,FALSE),IF(E13="既存流用",0,""))</x:f>
        <x:v>6</x:v>
      </x:c>
      <x:c r="N13" s="12" t="n">
        <x:f>IF(ISNUMBER(K13),G13*K13,"")</x:f>
        <x:v>2</x:v>
      </x:c>
      <x:c r="O13" s="12" t="n">
        <x:f>IF(ISNUMBER(L13),G13*L13,"")</x:f>
        <x:v>4</x:v>
      </x:c>
      <x:c r="P13" s="12" t="n">
        <x:f>IF(ISNUMBER(M13),G13*M13,"")</x:f>
        <x:v>6</x:v>
      </x:c>
    </x:row>
    <x:row r="16" ht="55" customHeight="1">
      <x:c r="A16" s="13" t="str">
        <x:v>集計項目</x:v>
      </x:c>
      <x:c r="B16" s="13" t="str">
        <x:v>値</x:v>
      </x:c>
      <x:c r="C16" s="13" t="str">
        <x:v>単位</x:v>
      </x:c>
      <x:c r="D16" s="13" t="str">
        <x:v>意味</x:v>
      </x:c>
    </x:row>
    <x:row r="17" ht="55" customHeight="1">
      <x:c r="A17" s="2" t="str">
        <x:v>算定済み下限</x:v>
      </x:c>
      <x:c r="B17" s="2" t="n">
        <x:f>SUM(N2:N13)</x:f>
        <x:v>22</x:v>
      </x:c>
      <x:c r="C17" s="2" t="str">
        <x:v>人時</x:v>
      </x:c>
      <x:c r="D17" s="2" t="str">
        <x:v>条件付きの作業を含む。未算定・Impossibleを含む案件全体の確定総工数ではない。</x:v>
      </x:c>
    </x:row>
    <x:row r="18" ht="55" customHeight="1">
      <x:c r="A18" s="2" t="str">
        <x:v>算定済み標準</x:v>
      </x:c>
      <x:c r="B18" s="2" t="n">
        <x:f>SUM(O2:O13)</x:f>
        <x:v>39</x:v>
      </x:c>
      <x:c r="C18" s="2" t="str">
        <x:v>人時</x:v>
      </x:c>
      <x:c r="D18" s="2" t="str">
        <x:v>SAMPLE-POM案の共通作業だけの小計。個別ケースの工数は別。</x:v>
      </x:c>
    </x:row>
    <x:row r="19" ht="55" customHeight="1">
      <x:c r="A19" s="2" t="str">
        <x:v>算定済み上限</x:v>
      </x:c>
      <x:c r="B19" s="2" t="n">
        <x:f>SUM(P2:P13)</x:f>
        <x:v>64</x:v>
      </x:c>
      <x:c r="C19" s="2" t="str">
        <x:v>人時</x:v>
      </x:c>
      <x:c r="D19" s="2" t="str">
        <x:v>上下限は設定値の合計であり、確率区間ではない。</x:v>
      </x:c>
    </x:row>
    <x:row r="20" ht="55" customHeight="1">
      <x:c r="A20" s="2" t="str">
        <x:v>要確認件数</x:v>
      </x:c>
      <x:c r="B20" s="2" t="n">
        <x:f>COUNTIFS(F2:F13,"要確認")</x:f>
        <x:v>1</x:v>
      </x:c>
      <x:c r="C20" s="2" t="str">
        <x:v>作業行</x:v>
      </x:c>
      <x:c r="D20" s="2" t="str">
        <x:v>数量とは別に未確定行を数える。</x:v>
      </x:c>
    </x:row>
    <x:row r="21" ht="55" customHeight="1">
      <x:c r="A21" s="2" t="str">
        <x:v>Impossible件数</x:v>
      </x:c>
      <x:c r="B21" s="2" t="n">
        <x:f>COUNTIFS(D2:D13,"Impossible")</x:f>
        <x:v>1</x:v>
      </x:c>
      <x:c r="C21" s="2" t="str">
        <x:v>作業行</x:v>
      </x:c>
      <x:c r="D21" s="2" t="str">
        <x:v>自動化不可の理由と代替を別途報告する。</x:v>
      </x:c>
    </x:row>
    <x:row r="22" ht="55" customHeight="1">
      <x:c r="A22" s="2" t="str">
        <x:v>条件付き件数</x:v>
      </x:c>
      <x:c r="B22" s="2" t="n">
        <x:f>COUNTIFS(F2:F13,"条件付き")</x:f>
        <x:v>1</x:v>
      </x:c>
      <x:c r="C22" s="2" t="str">
        <x:v>作業行</x:v>
      </x:c>
      <x:c r="D22" s="2" t="str">
        <x:v>工数に含めた仮定を報告する。</x:v>
      </x:c>
    </x:row>
    <x:row r="23" ht="55" customHeight="1">
      <x:c r="A23" s="2" t="str">
        <x:v>既存流用件数</x:v>
      </x:c>
      <x:c r="B23" s="2" t="n">
        <x:f>COUNTIFS(E2:E13,"既存流用")</x:f>
        <x:v>1</x:v>
      </x:c>
      <x:c r="C23" s="2" t="str">
        <x:v>作業行</x:v>
      </x:c>
      <x:c r="D23" s="2" t="str">
        <x:v>新規実装0。確認/組込みをどこへ計上したか残す。</x:v>
      </x:c>
    </x:row>
    <x:row r="24" ht="55" customHeight="1">
      <x:c r="A24" s="2" t="str">
        <x:v>対象外件数</x:v>
      </x:c>
      <x:c r="B24" s="2" t="n">
        <x:f>COUNTIFS(E2:E13,"対象外")</x:f>
        <x:v>1</x:v>
      </x:c>
      <x:c r="C24" s="2" t="str">
        <x:v>作業行</x:v>
      </x:c>
      <x:c r="D24" s="2" t="str">
        <x:v>除外・統合理由を残す。</x:v>
      </x:c>
    </x:row>
  </x:sheetData>
  <x:mergeCells>
    <x:mergeCell ref="D16:P16"/>
    <x:mergeCell ref="D17:P17"/>
    <x:mergeCell ref="D18:P18"/>
    <x:mergeCell ref="D19:P19"/>
    <x:mergeCell ref="D20:P20"/>
    <x:mergeCell ref="D21:P21"/>
    <x:mergeCell ref="D22:P22"/>
    <x:mergeCell ref="D23:P23"/>
    <x:mergeCell ref="D24:P24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.889999389648438" hidden="0" customWidth="1"/>
    <x:col min="2" max="2" width="22.219999313354492" hidden="0" customWidth="1"/>
    <x:col min="3" max="3" width="132.22000122070312" hidden="0" customWidth="1"/>
  </x:cols>
  <x:sheetData>
    <x:row r="1" ht="34" customHeight="1">
      <x:c r="A1" s="5" t="str">
        <x:v>出力ID</x:v>
      </x:c>
      <x:c r="B1" s="5" t="str">
        <x:v>出力項目</x:v>
      </x:c>
      <x:c r="C1" s="5" t="str">
        <x:v>内容・検証条件</x:v>
      </x:c>
    </x:row>
    <x:row r="2" ht="88" customHeight="1">
      <x:c r="A2" s="6" t="str">
        <x:v>COMMON-OUT-01</x:v>
      </x:c>
      <x:c r="B2" s="6" t="str">
        <x:v>案件設定</x:v>
      </x:c>
      <x:c r="C2" s="6" t="str">
        <x:v>scenario_id、POM採否、言語、環境/ブラウザー、CI、既存資産、仮定、基準版。POM未指定で採用案を作るなら条件付きと明示。</x:v>
      </x:c>
    </x:row>
    <x:row r="3" ht="88" customHeight="1">
      <x:c r="A3" s="3" t="str">
        <x:v>COMMON-OUT-02</x:v>
      </x:c>
      <x:c r="B3" s="3" t="str">
        <x:v>作業単位</x:v>
      </x:c>
      <x:c r="C3" s="3" t="str">
        <x:v>work_id、種別ID、責務、計上単位、構成要素ID、数量、利用ケースID。ファイル名やメソッド数だけを数量にしない。</x:v>
      </x:c>
    </x:row>
    <x:row r="4" ht="88" customHeight="1">
      <x:c r="A4" s="6" t="str">
        <x:v>COMMON-OUT-03</x:v>
      </x:c>
      <x:c r="B4" s="6" t="str">
        <x:v>根拠</x:v>
      </x:c>
      <x:c r="C4" s="6" t="str">
        <x:v>元資料のファイル/シート/セル、設計上の判断理由、種類別のどの条件に該当するか。項目書にない基盤作業は環境・納品要件を根拠とする。</x:v>
      </x:c>
    </x:row>
    <x:row r="5" ht="88" customHeight="1">
      <x:c r="A5" s="3" t="str">
        <x:v>COMMON-OUT-04</x:v>
      </x:c>
      <x:c r="B5" s="3" t="str">
        <x:v>構成と依存</x:v>
      </x:c>
      <x:c r="C5" s="3" t="str">
        <x:v>依存先、実処理の所有者、統合先ID、他作業との境界。共通部品/個別ケースの両方で同じ実装を計上していないか検証する。</x:v>
      </x:c>
    </x:row>
    <x:row r="6" ht="88" customHeight="1">
      <x:c r="A6" s="6" t="str">
        <x:v>COMMON-OUT-05</x:v>
      </x:c>
      <x:c r="B6" s="6" t="str">
        <x:v>状態</x:v>
      </x:c>
      <x:c r="C6" s="6" t="str">
        <x:v>実装区分：新規/改修/既存流用/要確認/対象外。見積状態：確定可能/条件付き/要確認。難易度：Low/Mid/High/Impossible/null。</x:v>
      </x:c>
    </x:row>
    <x:row r="7" ht="88" customHeight="1">
      <x:c r="A7" s="3" t="str">
        <x:v>COMMON-OUT-06</x:v>
      </x:c>
      <x:c r="B7" s="3" t="str">
        <x:v>単価参照</x:v>
      </x:c>
      <x:c r="C7" s="3" t="str">
        <x:v>工数表の参照キーとセル位置、下限/標準/上限、数量、小計。通貨ではなく人時。原則1作業1行、集約時は部品ID一覧を必須。</x:v>
      </x:c>
    </x:row>
    <x:row r="8" ht="88" customHeight="1">
      <x:c r="A8" s="6" t="str">
        <x:v>COMMON-OUT-07</x:v>
      </x:c>
      <x:c r="B8" s="6" t="str">
        <x:v>例外の扱い</x:v>
      </x:c>
      <x:c r="C8" s="6" t="str">
        <x:v>Impossible・要確認・対象外の単価/小計はnull。既存流用の新規実装のみ0を許容。工数表にないキーを近い種類へ無断で丸めない。</x:v>
      </x:c>
    </x:row>
    <x:row r="9" ht="88" customHeight="1">
      <x:c r="A9" s="3" t="str">
        <x:v>COMMON-OUT-08</x:v>
      </x:c>
      <x:c r="B9" s="3" t="str">
        <x:v>Impossible</x:v>
      </x:c>
      <x:c r="C9" s="3" t="str">
        <x:v>実現できない処理、確認済の根拠、制約、解消条件、代替または部分自動化案。工数が大きいことや不明なだけで不可にしない。</x:v>
      </x:c>
    </x:row>
    <x:row r="10" ht="88" customHeight="1">
      <x:c r="A10" s="6" t="str">
        <x:v>COMMON-OUT-09</x:v>
      </x:c>
      <x:c r="B10" s="6" t="str">
        <x:v>仮定と質問</x:v>
      </x:c>
      <x:c r="C10" s="6" t="str">
        <x:v>未提示事項、仮定、影響する作業ID、回答後の再見積条件。POCは調査の実施範囲と時間枠を記録する。</x:v>
      </x:c>
    </x:row>
    <x:row r="11" ht="88" customHeight="1">
      <x:c r="A11" s="3" t="str">
        <x:v>COMMON-OUT-10</x:v>
      </x:c>
      <x:c r="B11" s="3" t="str">
        <x:v>総計</x:v>
      </x:c>
      <x:c r="C11" s="3" t="str">
        <x:v>シナリオ別に共通作業と個別ケースを分離して合算。未算定がある場合は算定済み範囲の暫定総計とする。比較案同士を合算しない。</x:v>
      </x:c>
    </x:row>
    <x:row r="12" ht="88" customHeight="1">
      <x:c r="A12" s="6" t="str">
        <x:v>COMMON-OUT-11</x:v>
      </x:c>
      <x:c r="B12" s="6" t="str">
        <x:v>検証項目</x:v>
      </x:c>
      <x:c r="C12" s="6" t="str">
        <x:v>参照キーの存在、数量と部品数の一致、作業IDの一意性、単価の転記一致、小計と合計、未算定件数、重複所有、出典漏れを検証する。</x:v>
      </x:c>
    </x:row>
    <x:row r="13" ht="88" customHeight="1">
      <x:c r="A13" s="3" t="str">
        <x:v>COMMON-OUT-12</x:v>
      </x:c>
      <x:c r="B13" s="3" t="str">
        <x:v>合格条件</x:v>
      </x:c>
      <x:c r="C13" s="3" t="str">
        <x:v>必要な共通部分を責務付きで抽出し、仮置き基準を変更せず正しく適用すること。数値の現実性の説明や新しい実績根拠の生成は不要。</x:v>
      </x:c>
    </x:row>
  </x:sheetData>
  <x:pageMargins left="0.7" right="0.7" top="0.75" bottom="0.75" header="0.3" footer="0.3"/>
</x:worksheet>
</file>