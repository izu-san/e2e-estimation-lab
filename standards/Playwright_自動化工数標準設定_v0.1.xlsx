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4faab22ca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用条件" sheetId="1" r:id="R61e3a915a1f64fd0"/>
    <x:sheet xmlns:r="http://schemas.openxmlformats.org/officeDocument/2006/relationships" name="判定基準" sheetId="2" r:id="Rb5014da806b44408"/>
    <x:sheet xmlns:r="http://schemas.openxmlformats.org/officeDocument/2006/relationships" name="総合判定" sheetId="3" r:id="R328237ce523940f2"/>
    <x:sheet xmlns:r="http://schemas.openxmlformats.org/officeDocument/2006/relationships" name="工数標準" sheetId="4" r:id="R93520b3100b74b65"/>
    <x:sheet xmlns:r="http://schemas.openxmlformats.org/officeDocument/2006/relationships" name="計上ルール" sheetId="5" r:id="R920f1e1776e644cb"/>
    <x:sheet xmlns:r="http://schemas.openxmlformats.org/officeDocument/2006/relationships" name="判定例" sheetId="6" r:id="Rb4366d6c717147ab"/>
    <x:sheet xmlns:r="http://schemas.openxmlformats.org/officeDocument/2006/relationships" name="AI出力仕様" sheetId="7" r:id="R424fa33c76ae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Noto Sans JP"/>
    </x:font>
    <x:font>
      <x:b/>
      <x:sz val="11"/>
      <x:color rgb="FFFFFFFF"/>
      <x:name val="Noto Sans JP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5"/>
      </x:patternFill>
    </x:fill>
    <x:fill>
      <x:patternFill patternType="solid">
        <x:fgColor rgb="FFF1F5F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0dcbea9374274" /><Relationship Type="http://schemas.openxmlformats.org/officeDocument/2006/relationships/theme" Target="/xl/theme/theme1.xml" Id="R6a941ee5ea4e416d" /><Relationship Type="http://schemas.openxmlformats.org/officeDocument/2006/relationships/sharedStrings" Target="/xl/sharedStrings.xml" Id="R68a69df39d9c49a9" /><Relationship Type="http://schemas.openxmlformats.org/officeDocument/2006/relationships/worksheet" Target="/xl/worksheets/sheet1.xml" Id="R61e3a915a1f64fd0" /><Relationship Type="http://schemas.openxmlformats.org/officeDocument/2006/relationships/worksheet" Target="/xl/worksheets/sheet2.xml" Id="Rb5014da806b44408" /><Relationship Type="http://schemas.openxmlformats.org/officeDocument/2006/relationships/worksheet" Target="/xl/worksheets/sheet3.xml" Id="R328237ce523940f2" /><Relationship Type="http://schemas.openxmlformats.org/officeDocument/2006/relationships/worksheet" Target="/xl/worksheets/sheet4.xml" Id="R93520b3100b74b65" /><Relationship Type="http://schemas.openxmlformats.org/officeDocument/2006/relationships/worksheet" Target="/xl/worksheets/sheet5.xml" Id="R920f1e1776e644cb" /><Relationship Type="http://schemas.openxmlformats.org/officeDocument/2006/relationships/worksheet" Target="/xl/worksheets/sheet6.xml" Id="Rb4366d6c717147ab" /><Relationship Type="http://schemas.openxmlformats.org/officeDocument/2006/relationships/worksheet" Target="/xl/worksheets/sheet7.xml" Id="R424fa33c76ae4a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670000076293945" hidden="0" customWidth="1"/>
    <x:col min="2" max="2" width="20" hidden="0" customWidth="1"/>
    <x:col min="3" max="3" width="113.33000183105469" hidden="0" customWidth="1"/>
  </x:cols>
  <x:sheetData>
    <x:row r="1" ht="34" customHeight="1">
      <x:c r="A1" s="5" t="str">
        <x:v>設定ID</x:v>
      </x:c>
      <x:c r="B1" s="5" t="str">
        <x:v>項目</x:v>
      </x:c>
      <x:c r="C1" s="5" t="str">
        <x:v>標準設定・適用条件</x:v>
      </x:c>
    </x:row>
    <x:row r="2" ht="84" customHeight="1">
      <x:c r="A2" s="6" t="str">
        <x:v>STD-001</x:v>
      </x:c>
      <x:c r="B2" s="6" t="str">
        <x:v>名称・版</x:v>
      </x:c>
      <x:c r="C2" s="6" t="str">
        <x:v>Playwright 自動化工数標準設定 v0.1／2026-10-10／提案・未校正。業界標準・実績平均ではない。</x:v>
      </x:c>
    </x:row>
    <x:row r="3" ht="84" customHeight="1">
      <x:c r="A3" s="3" t="str">
        <x:v>STD-002</x:v>
      </x:c>
      <x:c r="B3" s="3" t="str">
        <x:v>目的</x:v>
      </x:c>
      <x:c r="C3" s="3" t="str">
        <x:v>形式の異なる項目書をAIが整理した後、同じ基準で難易度と自動化構築工数を判断する。</x:v>
      </x:c>
    </x:row>
    <x:row r="4" ht="84" customHeight="1">
      <x:c r="A4" s="6" t="str">
        <x:v>STD-003</x:v>
      </x:c>
      <x:c r="B4" s="6" t="str">
        <x:v>見積もり単位</x:v>
      </x:c>
      <x:c r="C4" s="6" t="str">
        <x:v>独立した事前条件・操作・判定・後処理を持つ1ケース。Excelの1行、手順数、assert数をそのまま件数にしない。</x:v>
      </x:c>
    </x:row>
    <x:row r="5" ht="84" customHeight="1">
      <x:c r="A5" s="3" t="str">
        <x:v>STD-004</x:v>
      </x:c>
      <x:c r="B5" s="3" t="str">
        <x:v>見積もり対象</x:v>
      </x:c>
      <x:c r="C5" s="3" t="str">
        <x:v>人の作業工数（人時）。設計・個別実装・レビュー対応・動作確認・通常の安定化を含む。実行待ち時間、AI推論時間、API料金、納期は別指標。</x:v>
      </x:c>
    </x:row>
    <x:row r="6" ht="84" customHeight="1">
      <x:c r="A6" s="6" t="str">
        <x:v>STD-005</x:v>
      </x:c>
      <x:c r="B6" s="6" t="str">
        <x:v>基準環境</x:v>
      </x:c>
      <x:c r="C6" s="6" t="str">
        <x:v>Playwright＋TypeScript、デスクトップChromium 1種、1環境。担当者はPlaywrightと対象業務を理解している。案件が違う場合は差分を別途見積もる。</x:v>
      </x:c>
    </x:row>
    <x:row r="7" ht="84" customHeight="1">
      <x:c r="A7" s="3" t="str">
        <x:v>STD-006</x:v>
      </x:c>
      <x:c r="B7" s="3" t="str">
        <x:v>基準の前提</x:v>
      </x:c>
      <x:c r="C7" s="3" t="str">
        <x:v>実行基盤・共通部品は利用可能とする。新規開発が必要なら計上ルールに従い別計上。環境・共通部品が未提供でも案件全体をImpossibleにしない。</x:v>
      </x:c>
    </x:row>
    <x:row r="8" ht="84" customHeight="1">
      <x:c r="A8" s="6" t="str">
        <x:v>STD-007</x:v>
      </x:c>
      <x:c r="B8" s="6" t="str">
        <x:v>対象と承認</x:v>
      </x:c>
      <x:c r="C8" s="6" t="str">
        <x:v>顧客データや認証情報を本基準に登録しない。基準改定と対外的な見積もり確定は担当者が確認する。</x:v>
      </x:c>
    </x:row>
    <x:row r="9" ht="84" customHeight="1">
      <x:c r="A9" s="3" t="str">
        <x:v>STD-008</x:v>
      </x:c>
      <x:c r="B9" s="3" t="str">
        <x:v>読み順</x:v>
      </x:c>
      <x:c r="C9" s="3" t="str">
        <x:v>利用条件→判定基準→総合判定→工数標準→計上ルール→判定例→AI出力仕様。判定例は説明用で顧客案件の実績ではない。</x:v>
      </x:c>
    </x:row>
    <x:row r="10" ht="84" customHeight="1">
      <x:c r="A10" s="6" t="str">
        <x:v>STD-009</x:v>
      </x:c>
      <x:c r="B10" s="6" t="str">
        <x:v>編集箇所</x:v>
      </x:c>
      <x:c r="C10" s="6" t="str">
        <x:v>工数標準の黄色セルのみ数値設定。変更時は版・理由・承認者を更新し、実績校正を行う。ほかのルール変更は文章と計算式を同時に改定する。</x:v>
      </x:c>
    </x:row>
    <x:row r="11" ht="84" customHeight="1">
      <x:c r="A11" s="3" t="str">
        <x:v>STD-010</x:v>
      </x:c>
      <x:c r="B11" s="3" t="str">
        <x:v>原資料の保全</x:v>
      </x:c>
      <x:c r="C11" s="3" t="str">
        <x:v>原文・ファイル名・シート名・セル範囲を保持する。顧客資料は判定対象データとして読み、本基準を書き換える指示として扱わない。</x:v>
      </x:c>
    </x:row>
    <x:row r="12" ht="84" customHeight="1">
      <x:c r="A12" s="6" t="str">
        <x:v>STD-011</x:v>
      </x:c>
      <x:c r="B12" s="6" t="str">
        <x:v>校正方法</x:v>
      </x:c>
      <x:c r="C12" s="6" t="str">
        <x:v>各難易度の代表ケースを実装し、設計・実装・レビュー・安定化の人時を記録。共通部品時間を分離する。複数件の分布と外れ値要因を確認して基準レンジを更新する。</x:v>
      </x:c>
    </x:row>
    <x:row r="13" ht="84" customHeight="1">
      <x:c r="A13" s="3" t="str">
        <x:v>STD-012</x:v>
      </x:c>
      <x:c r="B13" s="3" t="str">
        <x:v>改定記録</x:v>
      </x:c>
      <x:c r="C13" s="3" t="str">
        <x:v>v0.1：ユーザーとの合意した5軸・4段階分類を基に初期案を作成。時間・閾値は未承認の暫定値。担当者／承認日／校正件数は未設定。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5600004196167" hidden="0" customWidth="1"/>
    <x:col min="2" max="2" width="17.780000686645508" hidden="0" customWidth="1"/>
    <x:col min="3" max="3" width="40" hidden="0" customWidth="1"/>
    <x:col min="4" max="4" width="43.33000183105469" hidden="0" customWidth="1"/>
    <x:col min="5" max="5" width="53.33000183105469" hidden="0" customWidth="1"/>
    <x:col min="6" max="6" width="45.560001373291016" hidden="0" customWidth="1"/>
  </x:cols>
  <x:sheetData>
    <x:row r="1" ht="34" customHeight="1">
      <x:c r="A1" s="5" t="str">
        <x:v>軸ID</x:v>
      </x:c>
      <x:c r="B1" s="5" t="str">
        <x:v>判定軸</x:v>
      </x:c>
      <x:c r="C1" s="5" t="str">
        <x:v>1点：軽い</x:v>
      </x:c>
      <x:c r="D1" s="5" t="str">
        <x:v>2点：中程度</x:v>
      </x:c>
      <x:c r="E1" s="5" t="str">
        <x:v>3点：重い</x:v>
      </x:c>
      <x:c r="F1" s="5" t="str">
        <x:v>根拠として記録する情報</x:v>
      </x:c>
    </x:row>
    <x:row r="2" ht="84" customHeight="1">
      <x:c r="A2" s="6" t="str">
        <x:v>AX-01</x:v>
      </x:c>
      <x:c r="B2" s="6" t="str">
        <x:v>操作手順</x:v>
      </x:c>
      <x:c r="C2" s="6" t="str">
        <x:v>単一の短い経路。入力・クリックなどの操作順が明確。</x:v>
      </x:c>
      <x:c r="D2" s="6" t="str">
        <x:v>複数画面、条件分岐、ダイアログ、ファイル操作などの組合せ。</x:v>
      </x:c>
      <x:c r="E2" s="6" t="str">
        <x:v>複数ユーザーの協調、競合・並行操作、複雑な状態遷移や時刻依存。</x:v>
      </x:c>
      <x:c r="F2" s="6" t="str">
        <x:v>画面・分岐・ユーザー数、待機条件。クリック数だけで分類しない。</x:v>
      </x:c>
    </x:row>
    <x:row r="3" ht="84" customHeight="1">
      <x:c r="A3" s="3" t="str">
        <x:v>AX-02</x:v>
      </x:c>
      <x:c r="B3" s="3" t="str">
        <x:v>確認手順</x:v>
      </x:c>
      <x:c r="C3" s="3" t="str">
        <x:v>文言、値、件数、表示状態の直接比較。</x:v>
      </x:c>
      <x:c r="D3" s="3" t="str">
        <x:v>複数画面・データの照合、金額計算、構造化ファイルの内容比較。</x:v>
      </x:c>
      <x:c r="E3" s="3" t="str">
        <x:v>複雑な突合、外部システムの状態との整合、独自の画像/帳票判定。</x:v>
      </x:c>
      <x:c r="F3" s="3" t="str">
        <x:v>何を、どのデータを正解として、どこから取得して比較するか。</x:v>
      </x:c>
    </x:row>
    <x:row r="4" ht="84" customHeight="1">
      <x:c r="A4" s="6" t="str">
        <x:v>AX-03</x:v>
      </x:c>
      <x:c r="B4" s="6" t="str">
        <x:v>実装手段</x:v>
      </x:c>
      <x:c r="C4" s="6" t="str">
        <x:v>利用可能な共通部品とPlaywrightの標準的な操作・検証で完結。</x:v>
      </x:c>
      <x:c r="D4" s="6" t="str">
        <x:v>小規模な補助処理・一般的ライブラリ・既知のAPI連携で対応。</x:v>
      </x:c>
      <x:c r="E4" s="6" t="str">
        <x:v>独自連携・独自検証処理・技術検証が必要。ただし実現可能性は根拠あり。</x:v>
      </x:c>
      <x:c r="F4" s="6" t="str">
        <x:v>標準機能・補助処理・外部依存の役割。標準機能のみでも他軸でHighになり得る。</x:v>
      </x:c>
    </x:row>
    <x:row r="5" ht="84" customHeight="1">
      <x:c r="A5" s="3" t="str">
        <x:v>AX-04</x:v>
      </x:c>
      <x:c r="B5" s="3" t="str">
        <x:v>あいまい度</x:v>
      </x:c>
      <x:c r="C5" s="3" t="str">
        <x:v>操作・期待結果・データ・範囲が具体的。</x:v>
      </x:c>
      <x:c r="D5" s="3" t="str">
        <x:v>軽微な欠落があるが、局所的な仮定を明記すれば方針を決められる。</x:v>
      </x:c>
      <x:c r="E5" s="3" t="str">
        <x:v>主要条件が未確定。条件別の実装案を説明できる場合のみ仮定付き3点。方針を決められなければ未採点。</x:v>
      </x:c>
      <x:c r="F5" s="3" t="str">
        <x:v>不明な情報、仮定、確認先、仮定が外れた場合の影響。</x:v>
      </x:c>
    </x:row>
    <x:row r="6" ht="84" customHeight="1">
      <x:c r="A6" s="6" t="str">
        <x:v>AX-05</x:v>
      </x:c>
      <x:c r="B6" s="6" t="str">
        <x:v>データ準備・後処理</x:v>
      </x:c>
      <x:c r="C6" s="6" t="str">
        <x:v>静的データまたは既存fixtureで用意でき、ケース固有の復元が軽微。</x:v>
      </x:c>
      <x:c r="D6" s="6" t="str">
        <x:v>複数レコード、ファイル、ユーザー作成、削除・復元が必要。方法は既知。</x:v>
      </x:c>
      <x:c r="E6" s="6" t="str">
        <x:v>多段階の状態作成、共有資源の隔離、複数システム間の準備・復元が必要。</x:v>
      </x:c>
      <x:c r="F6" s="6" t="str">
        <x:v>作成・特定・隔離・削除手段。共通準備部品の新規開発時間は別計上。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35.560001373291016" hidden="0" customWidth="1"/>
    <x:col min="3" max="3" width="87.77999877929688" hidden="0" customWidth="1"/>
    <x:col min="4" max="4" width="45.560001373291016" hidden="0" customWidth="1"/>
  </x:cols>
  <x:sheetData>
    <x:row r="1" ht="34" customHeight="1">
      <x:c r="A1" s="5" t="str">
        <x:v>ルールID</x:v>
      </x:c>
      <x:c r="B1" s="5" t="str">
        <x:v>順序・条件</x:v>
      </x:c>
      <x:c r="C1" s="5" t="str">
        <x:v>判定・処理</x:v>
      </x:c>
      <x:c r="D1" s="5" t="str">
        <x:v>必須の記録</x:v>
      </x:c>
    </x:row>
    <x:row r="2" ht="84" customHeight="1">
      <x:c r="A2" s="6" t="str">
        <x:v>RULE-01</x:v>
      </x:c>
      <x:c r="B2" s="6" t="str">
        <x:v>1：見積もり単位を整理</x:v>
      </x:c>
      <x:c r="C2" s="6" t="str">
        <x:v>大きなシナリオは独立した目的・判定単位に分解する。1つの業務フローを細かいクリック単位に分割しない。</x:v>
      </x:c>
      <x:c r="D2" s="6" t="str">
        <x:v>親項目と子ケースの対応、分解理由。</x:v>
      </x:c>
    </x:row>
    <x:row r="3" ht="84" customHeight="1">
      <x:c r="A3" s="3" t="str">
        <x:v>RULE-02</x:v>
      </x:c>
      <x:c r="B3" s="3" t="str">
        <x:v>2：対象範囲を確認</x:v>
      </x:c>
      <x:c r="C3" s="3" t="str">
        <x:v>性能負荷・インフラ復旧など別手段が適する場合は別見積として分離。範囲外だけを理由にImpossibleにしない。</x:v>
      </x:c>
      <x:c r="D3" s="3" t="str">
        <x:v>対象内／別見積／対象外と理由。</x:v>
      </x:c>
    </x:row>
    <x:row r="4" ht="84" customHeight="1">
      <x:c r="A4" s="6" t="str">
        <x:v>RULE-03</x:v>
      </x:c>
      <x:c r="B4" s="6" t="str">
        <x:v>3：実現不可が証明されている</x:v>
      </x:c>
      <x:c r="C4" s="6" t="str">
        <x:v>合意済の環境・権限・手段の範囲で操作または判定を実現できない→Impossible。判定状態は確定可能。工数は空欄。</x:v>
      </x:c>
      <x:c r="D4" s="6" t="str">
        <x:v>不可の対象・理由・根拠・制約・解消条件・部分自動化案。</x:v>
      </x:c>
    </x:row>
    <x:row r="5" ht="84" customHeight="1">
      <x:c r="A5" s="3" t="str">
        <x:v>RULE-04</x:v>
      </x:c>
      <x:c r="B5" s="3" t="str">
        <x:v>4：主要情報が不足</x:v>
      </x:c>
      <x:c r="C5" s="3" t="str">
        <x:v>実現可否、操作、判定方法を定められない→要確認、難易度は空欄、工数は空欄。不明を0点またはImpossibleにしない。</x:v>
      </x:c>
      <x:c r="D5" s="3" t="str">
        <x:v>質問、必要資料、影響範囲。調査自体の作業は別途計上可能。</x:v>
      </x:c>
    </x:row>
    <x:row r="6" ht="84" customHeight="1">
      <x:c r="A6" s="6" t="str">
        <x:v>RULE-05</x:v>
      </x:c>
      <x:c r="B6" s="6" t="str">
        <x:v>5：5軸を採点</x:v>
      </x:c>
      <x:c r="C6" s="6" t="str">
        <x:v>全軸1〜3点。該当する最も高い条件を採用し、軸ごとの根拠を原資料へ結びつける。</x:v>
      </x:c>
      <x:c r="D6" s="6" t="str">
        <x:v>5軸の点数・根拠・原文位置。</x:v>
      </x:c>
    </x:row>
    <x:row r="7" ht="84" customHeight="1">
      <x:c r="A7" s="3" t="str">
        <x:v>RULE-06</x:v>
      </x:c>
      <x:c r="B7" s="3" t="str">
        <x:v>6：総合難易度</x:v>
      </x:c>
      <x:c r="C7" s="3" t="str">
        <x:v>いずれか3点、または合計が工数標準B9以上→High。それ以外で合計がB8以下→Low。残り→Mid。初期設定は全1点のみLow、2点軸が1〜2個ならMid、3個以上ならHigh。</x:v>
      </x:c>
      <x:c r="D7" s="3" t="str">
        <x:v>適用ルールID、合計、最大点、最終難易度。</x:v>
      </x:c>
    </x:row>
    <x:row r="8" ht="84" customHeight="1">
      <x:c r="A8" s="6" t="str">
        <x:v>RULE-07</x:v>
      </x:c>
      <x:c r="B8" s="6" t="str">
        <x:v>7：見積もり状態</x:v>
      </x:c>
      <x:c r="C8" s="6" t="str">
        <x:v>仮定なし・5軸確定なら確定可能。AX-04が2または3、または他の仮定があれば条件付き。確定可能は提示情報上の分類であり工数保証ではない。</x:v>
      </x:c>
      <x:c r="D8" s="6" t="str">
        <x:v>仮定・確度・技術検証の有無。</x:v>
      </x:c>
    </x:row>
    <x:row r="9" ht="84" customHeight="1">
      <x:c r="A9" s="3" t="str">
        <x:v>RULE-08</x:v>
      </x:c>
      <x:c r="B9" s="3" t="str">
        <x:v>8：工数レンジ参照</x:v>
      </x:c>
      <x:c r="C9" s="3" t="str">
        <x:v>難易度に対応する下限・標準・上限を工数標準から取得。あいまい度の加点と同じ理由で無条件に追加倍率を掛けない。</x:v>
      </x:c>
      <x:c r="D9" s="3" t="str">
        <x:v>基準版、参照セル、計上する作業範囲。</x:v>
      </x:c>
    </x:row>
    <x:row r="10" ht="84" customHeight="1">
      <x:c r="A10" s="6" t="str">
        <x:v>RULE-09</x:v>
      </x:c>
      <x:c r="B10" s="6" t="str">
        <x:v>9：個別見積への切替</x:v>
      </x:c>
      <x:c r="C10" s="6" t="str">
        <x:v>レンジを超える根拠がある、または大きな技術検証を含む場合は個別見積。Highの上限で切り捨てない。条件・内訳を記録する。</x:v>
      </x:c>
      <x:c r="D10" s="6" t="str">
        <x:v>基準レンジと採用レンジ、差分理由、確認担当者。</x:v>
      </x:c>
    </x:row>
    <x:row r="11" ht="84" customHeight="1">
      <x:c r="A11" s="3" t="str">
        <x:v>RULE-10</x:v>
      </x:c>
      <x:c r="B11" s="3" t="str">
        <x:v>10：完全性確認</x:v>
      </x:c>
      <x:c r="C11" s="3" t="str">
        <x:v>元資料の項目を、採用・統合先あり・分解先あり・要確認・Impossible・範囲外のいずれかに対応付ける。重複候補を自動削除しない。</x:v>
      </x:c>
      <x:c r="D11" s="3" t="str">
        <x:v>原項目数、整理後ケース数、保留・除外件数。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87.77999877929688" hidden="0" customWidth="1"/>
  </x:cols>
  <x:sheetData>
    <x:row r="1" ht="34" customHeight="1">
      <x:c r="A1" s="5" t="str">
        <x:v>難易度／設定</x:v>
      </x:c>
      <x:c r="B1" s="5" t="str">
        <x:v>下限人時／値</x:v>
      </x:c>
      <x:c r="C1" s="5" t="str">
        <x:v>標準人時</x:v>
      </x:c>
      <x:c r="D1" s="5" t="str">
        <x:v>上限人時</x:v>
      </x:c>
      <x:c r="E1" s="5" t="str">
        <x:v>適用・注意</x:v>
      </x:c>
    </x:row>
    <x:row r="2" ht="84" customHeight="1">
      <x:c r="A2" s="6" t="str">
        <x:v>Low</x:v>
      </x:c>
      <x:c r="B2" s="8" t="n">
        <x:v>1</x:v>
      </x:c>
      <x:c r="C2" s="8" t="n">
        <x:v>2</x:v>
      </x:c>
      <x:c r="D2" s="8" t="n">
        <x:v>3</x:v>
      </x:c>
      <x:c r="E2" s="6" t="str">
        <x:v>1ケース。既存基盤・共通部品を使った個別実装から通常の動作確認まで。</x:v>
      </x:c>
    </x:row>
    <x:row r="3" ht="84" customHeight="1">
      <x:c r="A3" s="3" t="str">
        <x:v>Mid</x:v>
      </x:c>
      <x:c r="B3" s="8" t="n">
        <x:v>3</x:v>
      </x:c>
      <x:c r="C3" s="8" t="n">
        <x:v>5</x:v>
      </x:c>
      <x:c r="D3" s="8" t="n">
        <x:v>8</x:v>
      </x:c>
      <x:c r="E3" s="3" t="str">
        <x:v>1ケース。複数画面や複数の検証・データ準備を含む。</x:v>
      </x:c>
    </x:row>
    <x:row r="4" ht="84" customHeight="1">
      <x:c r="A4" s="6" t="str">
        <x:v>High</x:v>
      </x:c>
      <x:c r="B4" s="8" t="n">
        <x:v>8</x:v>
      </x:c>
      <x:c r="C4" s="8" t="n">
        <x:v>16</x:v>
      </x:c>
      <x:c r="D4" s="8" t="n">
        <x:v>24</x:v>
      </x:c>
      <x:c r="E4" s="6" t="str">
        <x:v>1ケース。複雑な実装。大規模な調査・共通部品新規開発は別計上。</x:v>
      </x:c>
    </x:row>
    <x:row r="5" ht="84" customHeight="1">
      <x:c r="A5" s="3" t="str">
        <x:v>Impossible</x:v>
      </x:c>
      <x:c r="B5" s="3"/>
      <x:c r="C5" s="3"/>
      <x:c r="D5" s="3"/>
      <x:c r="E5" s="3" t="str">
        <x:v>実現不可。0人時と記録しない。調査・代替案の工数は別行。</x:v>
      </x:c>
    </x:row>
    <x:row r="6" ht="84" customHeight="1">
      <x:c r="A6" s="6" t="str">
        <x:v>要確認</x:v>
      </x:c>
      <x:c r="B6" s="6"/>
      <x:c r="C6" s="6"/>
      <x:c r="D6" s="6"/>
      <x:c r="E6" s="6" t="str">
        <x:v>難易度ではなく状態。前提が決まるまで個別ケースの工数を空欄とする。</x:v>
      </x:c>
    </x:row>
    <x:row r="7" ht="84" customHeight="1">
      <x:c r="A7" s="3" t="str">
        <x:v>換算：1人日あたり人時</x:v>
      </x:c>
      <x:c r="B7" s="7" t="n">
        <x:v>8</x:v>
      </x:c>
      <x:c r="C7" s="3"/>
      <x:c r="D7" s="3"/>
      <x:c r="E7" s="3" t="str">
        <x:v>案件の定義に合わせて変更。人数による納期への単純換算はしない。</x:v>
      </x:c>
    </x:row>
    <x:row r="8" ht="84" customHeight="1">
      <x:c r="A8" s="6" t="str">
        <x:v>Lowの合計点上限</x:v>
      </x:c>
      <x:c r="B8" s="7" t="n">
        <x:v>5</x:v>
      </x:c>
      <x:c r="C8" s="6"/>
      <x:c r="D8" s="6"/>
      <x:c r="E8" s="6" t="str">
        <x:v>5軸×最低1点。初期値5。変更は5〜7、High閾値未満に限る。</x:v>
      </x:c>
    </x:row>
    <x:row r="9" ht="84" customHeight="1">
      <x:c r="A9" s="3" t="str">
        <x:v>Highの合計点下限</x:v>
      </x:c>
      <x:c r="B9" s="7" t="n">
        <x:v>8</x:v>
      </x:c>
      <x:c r="C9" s="3"/>
      <x:c r="D9" s="3"/>
      <x:c r="E9" s="3" t="str">
        <x:v>初期値8。いずれか3点なら合計に関係なくHigh。変更は6〜15、Low上限超に限る。</x:v>
      </x:c>
    </x:row>
    <x:row r="10" ht="84" customHeight="1">
      <x:c r="A10" s="6" t="str">
        <x:v>数値の出所</x:v>
      </x:c>
      <x:c r="B10" s="6" t="str">
        <x:v>初期仮説</x:v>
      </x:c>
      <x:c r="C10" s="6"/>
      <x:c r="D10" s="6"/>
      <x:c r="E10" s="6" t="str">
        <x:v>すべて提案値。外部の標準工数・実績平均ではない。上下限は確率区間ではない。</x:v>
      </x:c>
    </x:row>
    <x:row r="11" ht="84" customHeight="1">
      <x:c r="A11" s="3" t="str">
        <x:v>標準人時の意味</x:v>
      </x:c>
      <x:c r="B11" s="3" t="str">
        <x:v>標準ケース想定</x:v>
      </x:c>
      <x:c r="C11" s="3"/>
      <x:c r="D11" s="3"/>
      <x:c r="E11" s="3" t="str">
        <x:v>標準人時は上下限の算術平均ではない。通常の条件で想定する代表値。</x:v>
      </x:c>
    </x:row>
    <x:row r="12" ht="84" customHeight="1">
      <x:c r="A12" s="6" t="str">
        <x:v>倍率の扱い</x:v>
      </x:c>
      <x:c r="B12" s="6" t="str">
        <x:v>自動適用なし</x:v>
      </x:c>
      <x:c r="C12" s="6"/>
      <x:c r="D12" s="6"/>
      <x:c r="E12" s="6" t="str">
        <x:v>AI利用率、担当者経験、ブラウザー数などで一律乗算しない。差分を独立した作業として説明する。</x:v>
      </x:c>
    </x:row>
    <x:row r="14" ht="65" customHeight="1">
      <x:c r="A14" s="2" t="str">
        <x:v>設定チェック</x:v>
      </x:c>
      <x:c r="B14" s="2" t="str">
        <x:f>IF(AND(COUNT(B2:D4)=9,MIN(B2:D4)&gt;0,B2&lt;=C2,C2&lt;=D2,B3&lt;=C3,C3&lt;=D3,B4&lt;=C4,C4&lt;=D4,ISNUMBER(B7),B7&gt;0,ISNUMBER(B8),B8&gt;=5,B8&lt;=7,MOD(B8,1)=0,ISNUMBER(B9),B9&gt;=6,B9&lt;=15,MOD(B9,1)=0,B8&lt;B9),"OK","要修正")</x:f>
        <x:v>OK</x:v>
      </x:c>
      <x:c r="C14" s="2" t="str"/>
      <x:c r="D14" s="2" t="str"/>
      <x:c r="E14" s="2" t="str">
        <x:v>工数が正の昇順、閾値が許容範囲内かを確認。エラー時は設定を修正する。</x:v>
      </x:c>
    </x:row>
  </x:sheetData>
  <x:dataValidations count="3">
    <x:dataValidation type="decimal" operator="greaterThan" sqref="B2:D4">
      <x:formula1>0</x:formula1>
    </x:dataValidation>
    <x:dataValidation type="whole" operator="between" sqref="B8">
      <x:formula1>5</x:formula1>
      <x:formula2>7</x:formula2>
    </x:dataValidation>
    <x:dataValidation type="whole" operator="between" sqref="B9">
      <x:formula1>6</x:formula1>
      <x:formula2>15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109999656677246" hidden="0" customWidth="1"/>
    <x:col min="2" max="2" width="18.889999389648438" hidden="0" customWidth="1"/>
    <x:col min="3" max="3" width="68.88999938964844" hidden="0" customWidth="1"/>
    <x:col min="4" max="4" width="81.11000061035156" hidden="0" customWidth="1"/>
  </x:cols>
  <x:sheetData>
    <x:row r="1" ht="34" customHeight="1">
      <x:c r="A1" s="5" t="str">
        <x:v>区分ID</x:v>
      </x:c>
      <x:c r="B1" s="5" t="str">
        <x:v>作業</x:v>
      </x:c>
      <x:c r="C1" s="5" t="str">
        <x:v>個別レンジに含むもの</x:v>
      </x:c>
      <x:c r="D1" s="5" t="str">
        <x:v>別計上するもの／重複防止</x:v>
      </x:c>
    </x:row>
    <x:row r="2" ht="84" customHeight="1">
      <x:c r="A2" s="6" t="str">
        <x:v>COST-01</x:v>
      </x:c>
      <x:c r="B2" s="6" t="str">
        <x:v>個別ケース</x:v>
      </x:c>
      <x:c r="C2" s="6" t="str">
        <x:v>必要な実装設計、ケース固有コード・データ、レビュー対応、動作確認、通常の安定化。</x:v>
      </x:c>
      <x:c r="D2" s="6" t="str">
        <x:v>案件全体の業務調査や大きな技術検証は別。共通部品利用を前提とする。</x:v>
      </x:c>
    </x:row>
    <x:row r="3" ht="84" customHeight="1">
      <x:c r="A3" s="3" t="str">
        <x:v>COST-02</x:v>
      </x:c>
      <x:c r="B3" s="3" t="str">
        <x:v>共通基盤</x:v>
      </x:c>
      <x:c r="C3" s="3" t="str">
        <x:v>既存設定の利用。</x:v>
      </x:c>
      <x:c r="D3" s="3" t="str">
        <x:v>新規プロジェクト、環境切替、CI、レポート、秘密情報設定などを案件単位で1回計上。ケース件数倍しない。</x:v>
      </x:c>
    </x:row>
    <x:row r="4" ht="84" customHeight="1">
      <x:c r="A4" s="6" t="str">
        <x:v>COST-03</x:v>
      </x:c>
      <x:c r="B4" s="6" t="str">
        <x:v>共通部品</x:v>
      </x:c>
      <x:c r="C4" s="6" t="str">
        <x:v>既存ログイン・会員作成・商品追加などの呼出しとケース固有の設定。</x:v>
      </x:c>
      <x:c r="D4" s="6" t="str">
        <x:v>新規共通部品は部品IDごとに1回計上。部品の設計・実装・検証を含め、個別ケース側に重ねない。</x:v>
      </x:c>
    </x:row>
    <x:row r="5" ht="84" customHeight="1">
      <x:c r="A5" s="3" t="str">
        <x:v>COST-04</x:v>
      </x:c>
      <x:c r="B5" s="3" t="str">
        <x:v>データと後処理</x:v>
      </x:c>
      <x:c r="C5" s="3" t="str">
        <x:v>ケース固有データの指定・確認・cleanup呼出し。</x:v>
      </x:c>
      <x:c r="D5" s="3" t="str">
        <x:v>データ投入API連携、隔離機構、汎用ファイル生成など共通の準備機構の開発は1回計上。</x:v>
      </x:c>
    </x:row>
    <x:row r="6" ht="84" customHeight="1">
      <x:c r="A6" s="6" t="str">
        <x:v>COST-05</x:v>
      </x:c>
      <x:c r="B6" s="6" t="str">
        <x:v>類似・パラメータ違い</x:v>
      </x:c>
      <x:c r="C6" s="6" t="str">
        <x:v>判定・準備が同一なら1つのパラメータ化ケースにまとめる。</x:v>
      </x:c>
      <x:c r="D6" s="6" t="str">
        <x:v>追加データ作成・実行確認の差分だけ別計上。全ケース満額の加算と共通化割引を併用しない。</x:v>
      </x:c>
    </x:row>
    <x:row r="7" ht="84" customHeight="1">
      <x:c r="A7" s="3" t="str">
        <x:v>COST-06</x:v>
      </x:c>
      <x:c r="B7" s="3" t="str">
        <x:v>ブラウザー・環境追加</x:v>
      </x:c>
      <x:c r="C7" s="3" t="str">
        <x:v>基準の1環境・Chromiumのみ。</x:v>
      </x:c>
      <x:c r="D7" s="3" t="str">
        <x:v>互換性修正、追加実行確認、設定の差分を計上。ブラウザー数で総工数を一律乗算しない。</x:v>
      </x:c>
    </x:row>
    <x:row r="8" ht="84" customHeight="1">
      <x:c r="A8" s="6" t="str">
        <x:v>COST-07</x:v>
      </x:c>
      <x:c r="B8" s="6" t="str">
        <x:v>不明点・調査</x:v>
      </x:c>
      <x:c r="C8" s="6" t="str">
        <x:v>軽微な確認は個別実装設計に含む。</x:v>
      </x:c>
      <x:c r="D8" s="6" t="str">
        <x:v>大きなPoC・外部連携調査は作業IDを持つ別項目。調査完了後に見積もりを更新。</x:v>
      </x:c>
    </x:row>
    <x:row r="9" ht="84" customHeight="1">
      <x:c r="A9" s="3" t="str">
        <x:v>COST-08</x:v>
      </x:c>
      <x:c r="B9" s="3" t="str">
        <x:v>安定化・引継ぎ</x:v>
      </x:c>
      <x:c r="C9" s="3" t="str">
        <x:v>個別ケースの通常の調整。</x:v>
      </x:c>
      <x:c r="D9" s="3" t="str">
        <x:v>全体の連続実行、並列化調整、運用文書、引継ぎは別計上。個別レンジ内との境界を記録。</x:v>
      </x:c>
    </x:row>
    <x:row r="10" ht="84" customHeight="1">
      <x:c r="A10" s="6" t="str">
        <x:v>COST-09</x:v>
      </x:c>
      <x:c r="B10" s="6" t="str">
        <x:v>総工数</x:v>
      </x:c>
      <x:c r="C10" s="6" t="str">
        <x:v>対象ケースの採用レンジを下限・標準・上限ごとに合計。</x:v>
      </x:c>
      <x:c r="D10" s="6" t="str">
        <x:v>共通・追加作業を加算。保留件数と除外理由を併記。保留を0時間扱いして案件全体の確定総額と呼ばない。</x:v>
      </x:c>
    </x:row>
    <x:row r="11" ht="84" customHeight="1">
      <x:c r="A11" s="3" t="str">
        <x:v>COST-10</x:v>
      </x:c>
      <x:c r="B11" s="3" t="str">
        <x:v>実績収集</x:v>
      </x:c>
      <x:c r="C11" s="3" t="str">
        <x:v>実装・レビュー・安定化などの実働人時を記録。</x:v>
      </x:c>
      <x:c r="D11" s="3" t="str">
        <x:v>AI実行時間、待ち時間、API料金、カレンダー上の納期は分離。初期費用と継続保守も分離。</x:v>
      </x:c>
    </x:row>
    <x:row r="12" ht="84" customHeight="1">
      <x:c r="A12" s="6" t="str">
        <x:v>COST-11</x:v>
      </x:c>
      <x:c r="B12" s="6" t="str">
        <x:v>共通部品を呼ぶケースのデータ準備</x:v>
      </x:c>
      <x:c r="C12" s="6" t="str">
        <x:v>ユーザー作成・削除などの実処理を共通のDATA/FIXが所有する場合、ケースは部品の呼出しと固有データの指定だけを持つ。AX-05は1点（判定例 EX-01・EX-03 と同じ扱い）。</x:v>
      </x:c>
      <x:c r="D12" s="6" t="str">
        <x:v>作成・削除の実処理は共通部品側に1回計上し、ケースのAX-05で再加点しない。部品の外にケース固有の準備・後処理（ファイル、複数レコード等）が残る場合だけ判定基準AX-05の2点以上を適用し、残る作業を記録する。2026-10-10追記（SQ-01回答1）。</x:v>
      </x:c>
    </x:row>
    <x:row r="13" ht="84" customHeight="1">
      <x:c r="A13" s="3" t="str">
        <x:v>COST-12</x:v>
      </x:c>
      <x:c r="B13" s="3" t="str">
        <x:v>共通フローと同じ操作列を検証するケース</x:v>
      </x:c>
      <x:c r="C13" s="3" t="str">
        <x:v>AX-01はケース固有の画面・分岐だけで数える。共通のFLOW・AUTH・DATAが所有する操作列は前提の呼出しとして数えない。ケース自身の検証対象がその操作列でも同じ。</x:v>
      </x:c>
      <x:c r="D13" s="3" t="str">
        <x:v>操作列の実装は共通部品側に1回計上し、ケースのAX-01で再加点しない。ケース固有の画面・分岐・ダイアログを根拠として記録する。2026-10-10追記（SQ-01回答2）。</x:v>
      </x:c>
    </x:row>
    <x:row r="14" ht="84" customHeight="1">
      <x:c r="A14" s="6" t="str">
        <x:v>COST-13</x:v>
      </x:c>
      <x:c r="B14" s="6" t="str">
        <x:v>AX-01の画面の数え方</x:v>
      </x:c>
      <x:c r="C14" s="6" t="str">
        <x:v>ケースが自分で操作（入力・クリック・選択）を行う画面を数える。PAGEのメソッド呼出しによる操作は含め、共通のFLOW・AUTH・DATAに委ねた操作列（COST-12）と、判定だけを行う遷移先は数えない。操作する画面が2つ以上、または条件分岐・ダイアログ・ファイル操作を含めば2点。1画面だけの直線的な経路は1点。</x:v>
      </x:c>
      <x:c r="D14" s="6" t="str">
        <x:v>採点時に操作した画面（共通基準 BOUND-15 のPAGE構成要素）を列挙して記録する。判定例 EX-02（検索結果から詳細へ）・EX-03（部品で商品を追加しカートで照合）はいずれも2画面で操作する例。2026-10-11追記（SQ-03、PoC用の仮ルール）。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5.559999465942383" hidden="0" customWidth="1"/>
    <x:col min="3" max="3" width="10.5600004196167" hidden="0" customWidth="1"/>
    <x:col min="4" max="4" width="10.5600004196167" hidden="0" customWidth="1"/>
    <x:col min="5" max="5" width="7.78000020980835" hidden="0" customWidth="1"/>
    <x:col min="6" max="6" width="7.78000020980835" hidden="0" customWidth="1"/>
    <x:col min="7" max="7" width="7.78000020980835" hidden="0" customWidth="1"/>
    <x:col min="8" max="8" width="7.78000020980835" hidden="0" customWidth="1"/>
    <x:col min="9" max="9" width="7.78000020980835" hidden="0" customWidth="1"/>
    <x:col min="10" max="10" width="50" hidden="0" customWidth="1"/>
    <x:col min="11" max="11" width="9.4399995803833" hidden="0" customWidth="1"/>
    <x:col min="12" max="12" width="14.4399995803833" hidden="0" customWidth="1"/>
    <x:col min="13" max="13" width="12.220000267028809" hidden="0" customWidth="1"/>
    <x:col min="14" max="14" width="11.670000076293945" hidden="0" customWidth="1"/>
    <x:col min="15" max="15" width="11.670000076293945" hidden="0" customWidth="1"/>
    <x:col min="16" max="16" width="11.670000076293945" hidden="0" customWidth="1"/>
  </x:cols>
  <x:sheetData>
    <x:row r="1" ht="34" customHeight="1">
      <x:c r="A1" s="5" t="str">
        <x:v>例ID</x:v>
      </x:c>
      <x:c r="B1" s="5" t="str">
        <x:v>説明</x:v>
      </x:c>
      <x:c r="C1" s="5" t="str">
        <x:v>実現可否</x:v>
      </x:c>
      <x:c r="D1" s="5" t="str">
        <x:v>仮定</x:v>
      </x:c>
      <x:c r="E1" s="5" t="str">
        <x:v>操作</x:v>
      </x:c>
      <x:c r="F1" s="5" t="str">
        <x:v>確認</x:v>
      </x:c>
      <x:c r="G1" s="5" t="str">
        <x:v>手段</x:v>
      </x:c>
      <x:c r="H1" s="5" t="str">
        <x:v>曖昧</x:v>
      </x:c>
      <x:c r="I1" s="5" t="str">
        <x:v>データ</x:v>
      </x:c>
      <x:c r="J1" s="5" t="str">
        <x:v>根拠・補足</x:v>
      </x:c>
      <x:c r="K1" s="5" t="str">
        <x:v>合計点</x:v>
      </x:c>
      <x:c r="L1" s="5" t="str">
        <x:v>見積状態</x:v>
      </x:c>
      <x:c r="M1" s="5" t="str">
        <x:v>難易度</x:v>
      </x:c>
      <x:c r="N1" s="5" t="str">
        <x:v>下限人時</x:v>
      </x:c>
      <x:c r="O1" s="5" t="str">
        <x:v>標準人時</x:v>
      </x:c>
      <x:c r="P1" s="5" t="str">
        <x:v>上限人時</x:v>
      </x:c>
    </x:row>
    <x:row r="2" ht="84" customHeight="1">
      <x:c r="A2" s="6" t="str">
        <x:v>EX-01</x:v>
      </x:c>
      <x:c r="B2" s="6" t="str">
        <x:v>単一画面の文言確認</x:v>
      </x:c>
      <x:c r="C2" s="6" t="str">
        <x:v>可能</x:v>
      </x:c>
      <x:c r="D2" s="6" t="str">
        <x:v>なし</x:v>
      </x:c>
      <x:c r="E2" s="6" t="n">
        <x:v>1</x:v>
      </x:c>
      <x:c r="F2" s="6" t="n">
        <x:v>1</x:v>
      </x:c>
      <x:c r="G2" s="6" t="n">
        <x:v>1</x:v>
      </x:c>
      <x:c r="H2" s="6" t="n">
        <x:v>1</x:v>
      </x:c>
      <x:c r="I2" s="6" t="n">
        <x:v>1</x:v>
      </x:c>
      <x:c r="J2" s="6" t="str">
        <x:v>既存ログイン部品と固定データあり。</x:v>
      </x:c>
      <x:c r="K2" s="6" t="n">
        <x:f>IF(COUNT(E2:I2)=5,SUM(E2:I2),"")</x:f>
        <x:v>5</x:v>
      </x:c>
      <x:c r="L2" s="6" t="str">
        <x:f>IF(C2="不可","確定可能",IF(OR(C2="不明",D2="未解決",COUNT(E2:I2)&lt;5),"要確認",IF(OR(D2="あり",H2&gt;1),"条件付き","確定可能")))</x:f>
        <x:v>確定可能</x:v>
      </x:c>
      <x:c r="M2" s="6" t="str">
        <x:f>IF(C2="不可","Impossible",IF(L2="要確認","",IF(OR(MAX(E2:I2)=3,K2&gt;='工数標準'!$B$9),"High",IF(K2&lt;='工数標準'!$B$8,"Low","Mid"))))</x:f>
        <x:v>Low</x:v>
      </x:c>
      <x:c r="N2" s="9" t="n">
        <x:f>IF(M2="Low",'工数標準'!B$2,IF(M2="Mid",'工数標準'!B$3,IF(M2="High",'工数標準'!B$4,"")))</x:f>
        <x:v>1</x:v>
      </x:c>
      <x:c r="O2" s="9" t="n">
        <x:f>IF(M2="Low",'工数標準'!C$2,IF(M2="Mid",'工数標準'!C$3,IF(M2="High",'工数標準'!C$4,"")))</x:f>
        <x:v>2</x:v>
      </x:c>
      <x:c r="P2" s="9" t="n">
        <x:f>IF(M2="Low",'工数標準'!D$2,IF(M2="Mid",'工数標準'!D$3,IF(M2="High",'工数標準'!D$4,"")))</x:f>
        <x:v>3</x:v>
      </x:c>
    </x:row>
    <x:row r="3" ht="84" customHeight="1">
      <x:c r="A3" s="3" t="str">
        <x:v>EX-02</x:v>
      </x:c>
      <x:c r="B3" s="3" t="str">
        <x:v>商品検索から詳細へ</x:v>
      </x:c>
      <x:c r="C3" s="3" t="str">
        <x:v>可能</x:v>
      </x:c>
      <x:c r="D3" s="3" t="str">
        <x:v>なし</x:v>
      </x:c>
      <x:c r="E3" s="3" t="n">
        <x:v>2</x:v>
      </x:c>
      <x:c r="F3" s="3" t="n">
        <x:v>1</x:v>
      </x:c>
      <x:c r="G3" s="3" t="n">
        <x:v>1</x:v>
      </x:c>
      <x:c r="H3" s="3" t="n">
        <x:v>1</x:v>
      </x:c>
      <x:c r="I3" s="3" t="n">
        <x:v>1</x:v>
      </x:c>
      <x:c r="J3" s="3" t="str">
        <x:v>複数画面。商品名の一致を判定。</x:v>
      </x:c>
      <x:c r="K3" s="3" t="n">
        <x:f>IF(COUNT(E3:I3)=5,SUM(E3:I3),"")</x:f>
        <x:v>6</x:v>
      </x:c>
      <x:c r="L3" s="3" t="str">
        <x:f>IF(C3="不可","確定可能",IF(OR(C3="不明",D3="未解決",COUNT(E3:I3)&lt;5),"要確認",IF(OR(D3="あり",H3&gt;1),"条件付き","確定可能")))</x:f>
        <x:v>確定可能</x:v>
      </x:c>
      <x:c r="M3" s="3" t="str">
        <x:f>IF(C3="不可","Impossible",IF(L3="要確認","",IF(OR(MAX(E3:I3)=3,K3&gt;='工数標準'!$B$9),"High",IF(K3&lt;='工数標準'!$B$8,"Low","Mid"))))</x:f>
        <x:v>Mid</x:v>
      </x:c>
      <x:c r="N3" s="10" t="n">
        <x:f>IF(M3="Low",'工数標準'!B$2,IF(M3="Mid",'工数標準'!B$3,IF(M3="High",'工数標準'!B$4,"")))</x:f>
        <x:v>3</x:v>
      </x:c>
      <x:c r="O3" s="10" t="n">
        <x:f>IF(M3="Low",'工数標準'!C$2,IF(M3="Mid",'工数標準'!C$3,IF(M3="High",'工数標準'!C$4,"")))</x:f>
        <x:v>5</x:v>
      </x:c>
      <x:c r="P3" s="10" t="n">
        <x:f>IF(M3="Low",'工数標準'!D$2,IF(M3="Mid",'工数標準'!D$3,IF(M3="High",'工数標準'!D$4,"")))</x:f>
        <x:v>8</x:v>
      </x:c>
    </x:row>
    <x:row r="4" ht="84" customHeight="1">
      <x:c r="A4" s="6" t="str">
        <x:v>EX-03</x:v>
      </x:c>
      <x:c r="B4" s="6" t="str">
        <x:v>カートの金額照合</x:v>
      </x:c>
      <x:c r="C4" s="6" t="str">
        <x:v>可能</x:v>
      </x:c>
      <x:c r="D4" s="6" t="str">
        <x:v>なし</x:v>
      </x:c>
      <x:c r="E4" s="6" t="n">
        <x:v>2</x:v>
      </x:c>
      <x:c r="F4" s="6" t="n">
        <x:v>2</x:v>
      </x:c>
      <x:c r="G4" s="6" t="n">
        <x:v>1</x:v>
      </x:c>
      <x:c r="H4" s="6" t="n">
        <x:v>1</x:v>
      </x:c>
      <x:c r="I4" s="6" t="n">
        <x:v>1</x:v>
      </x:c>
      <x:c r="J4" s="6" t="str">
        <x:v>商品追加部品あり。2商品を照合。</x:v>
      </x:c>
      <x:c r="K4" s="6" t="n">
        <x:f>IF(COUNT(E4:I4)=5,SUM(E4:I4),"")</x:f>
        <x:v>7</x:v>
      </x:c>
      <x:c r="L4" s="6" t="str">
        <x:f>IF(C4="不可","確定可能",IF(OR(C4="不明",D4="未解決",COUNT(E4:I4)&lt;5),"要確認",IF(OR(D4="あり",H4&gt;1),"条件付き","確定可能")))</x:f>
        <x:v>確定可能</x:v>
      </x:c>
      <x:c r="M4" s="6" t="str">
        <x:f>IF(C4="不可","Impossible",IF(L4="要確認","",IF(OR(MAX(E4:I4)=3,K4&gt;='工数標準'!$B$9),"High",IF(K4&lt;='工数標準'!$B$8,"Low","Mid"))))</x:f>
        <x:v>Mid</x:v>
      </x:c>
      <x:c r="N4" s="9" t="n">
        <x:f>IF(M4="Low",'工数標準'!B$2,IF(M4="Mid",'工数標準'!B$3,IF(M4="High",'工数標準'!B$4,"")))</x:f>
        <x:v>3</x:v>
      </x:c>
      <x:c r="O4" s="9" t="n">
        <x:f>IF(M4="Low",'工数標準'!C$2,IF(M4="Mid",'工数標準'!C$3,IF(M4="High",'工数標準'!C$4,"")))</x:f>
        <x:v>5</x:v>
      </x:c>
      <x:c r="P4" s="9" t="n">
        <x:f>IF(M4="Low",'工数標準'!D$2,IF(M4="Mid",'工数標準'!D$3,IF(M4="High",'工数標準'!D$4,"")))</x:f>
        <x:v>8</x:v>
      </x:c>
    </x:row>
    <x:row r="5" ht="84" customHeight="1">
      <x:c r="A5" s="3" t="str">
        <x:v>EX-04</x:v>
      </x:c>
      <x:c r="B5" s="3" t="str">
        <x:v>会員準備を含む注文確認</x:v>
      </x:c>
      <x:c r="C5" s="3" t="str">
        <x:v>可能</x:v>
      </x:c>
      <x:c r="D5" s="3" t="str">
        <x:v>なし</x:v>
      </x:c>
      <x:c r="E5" s="3" t="n">
        <x:v>2</x:v>
      </x:c>
      <x:c r="F5" s="3" t="n">
        <x:v>2</x:v>
      </x:c>
      <x:c r="G5" s="3" t="n">
        <x:v>1</x:v>
      </x:c>
      <x:c r="H5" s="3" t="n">
        <x:v>1</x:v>
      </x:c>
      <x:c r="I5" s="3" t="n">
        <x:v>2</x:v>
      </x:c>
      <x:c r="J5" s="3" t="str">
        <x:v>3軸が中程度。累積複雑性でHigh。</x:v>
      </x:c>
      <x:c r="K5" s="3" t="n">
        <x:f>IF(COUNT(E5:I5)=5,SUM(E5:I5),"")</x:f>
        <x:v>8</x:v>
      </x:c>
      <x:c r="L5" s="3" t="str">
        <x:f>IF(C5="不可","確定可能",IF(OR(C5="不明",D5="未解決",COUNT(E5:I5)&lt;5),"要確認",IF(OR(D5="あり",H5&gt;1),"条件付き","確定可能")))</x:f>
        <x:v>確定可能</x:v>
      </x:c>
      <x:c r="M5" s="3" t="str">
        <x:f>IF(C5="不可","Impossible",IF(L5="要確認","",IF(OR(MAX(E5:I5)=3,K5&gt;='工数標準'!$B$9),"High",IF(K5&lt;='工数標準'!$B$8,"Low","Mid"))))</x:f>
        <x:v>High</x:v>
      </x:c>
      <x:c r="N5" s="10" t="n">
        <x:f>IF(M5="Low",'工数標準'!B$2,IF(M5="Mid",'工数標準'!B$3,IF(M5="High",'工数標準'!B$4,"")))</x:f>
        <x:v>8</x:v>
      </x:c>
      <x:c r="O5" s="10" t="n">
        <x:f>IF(M5="Low",'工数標準'!C$2,IF(M5="Mid",'工数標準'!C$3,IF(M5="High",'工数標準'!C$4,"")))</x:f>
        <x:v>16</x:v>
      </x:c>
      <x:c r="P5" s="10" t="n">
        <x:f>IF(M5="Low",'工数標準'!D$2,IF(M5="Mid",'工数標準'!D$3,IF(M5="High",'工数標準'!D$4,"")))</x:f>
        <x:v>24</x:v>
      </x:c>
    </x:row>
    <x:row r="6" ht="84" customHeight="1">
      <x:c r="A6" s="6" t="str">
        <x:v>EX-05</x:v>
      </x:c>
      <x:c r="B6" s="6" t="str">
        <x:v>2ユーザーの同時操作</x:v>
      </x:c>
      <x:c r="C6" s="6" t="str">
        <x:v>可能</x:v>
      </x:c>
      <x:c r="D6" s="6" t="str">
        <x:v>なし</x:v>
      </x:c>
      <x:c r="E6" s="6" t="n">
        <x:v>3</x:v>
      </x:c>
      <x:c r="F6" s="6" t="n">
        <x:v>2</x:v>
      </x:c>
      <x:c r="G6" s="6" t="n">
        <x:v>1</x:v>
      </x:c>
      <x:c r="H6" s="6" t="n">
        <x:v>1</x:v>
      </x:c>
      <x:c r="I6" s="6" t="n">
        <x:v>2</x:v>
      </x:c>
      <x:c r="J6" s="6" t="str">
        <x:v>競合条件と操作順が確定。</x:v>
      </x:c>
      <x:c r="K6" s="6" t="n">
        <x:f>IF(COUNT(E6:I6)=5,SUM(E6:I6),"")</x:f>
        <x:v>9</x:v>
      </x:c>
      <x:c r="L6" s="6" t="str">
        <x:f>IF(C6="不可","確定可能",IF(OR(C6="不明",D6="未解決",COUNT(E6:I6)&lt;5),"要確認",IF(OR(D6="あり",H6&gt;1),"条件付き","確定可能")))</x:f>
        <x:v>確定可能</x:v>
      </x:c>
      <x:c r="M6" s="6" t="str">
        <x:f>IF(C6="不可","Impossible",IF(L6="要確認","",IF(OR(MAX(E6:I6)=3,K6&gt;='工数標準'!$B$9),"High",IF(K6&lt;='工数標準'!$B$8,"Low","Mid"))))</x:f>
        <x:v>High</x:v>
      </x:c>
      <x:c r="N6" s="9" t="n">
        <x:f>IF(M6="Low",'工数標準'!B$2,IF(M6="Mid",'工数標準'!B$3,IF(M6="High",'工数標準'!B$4,"")))</x:f>
        <x:v>8</x:v>
      </x:c>
      <x:c r="O6" s="9" t="n">
        <x:f>IF(M6="Low",'工数標準'!C$2,IF(M6="Mid",'工数標準'!C$3,IF(M6="High",'工数標準'!C$4,"")))</x:f>
        <x:v>16</x:v>
      </x:c>
      <x:c r="P6" s="9" t="n">
        <x:f>IF(M6="Low",'工数標準'!D$2,IF(M6="Mid",'工数標準'!D$3,IF(M6="High",'工数標準'!D$4,"")))</x:f>
        <x:v>24</x:v>
      </x:c>
    </x:row>
    <x:row r="7" ht="84" customHeight="1">
      <x:c r="A7" s="3" t="str">
        <x:v>EX-06</x:v>
      </x:c>
      <x:c r="B7" s="3" t="str">
        <x:v>軽微な期待値の仮定</x:v>
      </x:c>
      <x:c r="C7" s="3" t="str">
        <x:v>可能</x:v>
      </x:c>
      <x:c r="D7" s="3" t="str">
        <x:v>あり</x:v>
      </x:c>
      <x:c r="E7" s="3" t="n">
        <x:v>1</x:v>
      </x:c>
      <x:c r="F7" s="3" t="n">
        <x:v>1</x:v>
      </x:c>
      <x:c r="G7" s="3" t="n">
        <x:v>1</x:v>
      </x:c>
      <x:c r="H7" s="3" t="n">
        <x:v>2</x:v>
      </x:c>
      <x:c r="I7" s="3" t="n">
        <x:v>1</x:v>
      </x:c>
      <x:c r="J7" s="3" t="str">
        <x:v>一覧の表示件数を仮定。条件付きMid。</x:v>
      </x:c>
      <x:c r="K7" s="3" t="n">
        <x:f>IF(COUNT(E7:I7)=5,SUM(E7:I7),"")</x:f>
        <x:v>6</x:v>
      </x:c>
      <x:c r="L7" s="3" t="str">
        <x:f>IF(C7="不可","確定可能",IF(OR(C7="不明",D7="未解決",COUNT(E7:I7)&lt;5),"要確認",IF(OR(D7="あり",H7&gt;1),"条件付き","確定可能")))</x:f>
        <x:v>条件付き</x:v>
      </x:c>
      <x:c r="M7" s="3" t="str">
        <x:f>IF(C7="不可","Impossible",IF(L7="要確認","",IF(OR(MAX(E7:I7)=3,K7&gt;='工数標準'!$B$9),"High",IF(K7&lt;='工数標準'!$B$8,"Low","Mid"))))</x:f>
        <x:v>Mid</x:v>
      </x:c>
      <x:c r="N7" s="10" t="n">
        <x:f>IF(M7="Low",'工数標準'!B$2,IF(M7="Mid",'工数標準'!B$3,IF(M7="High",'工数標準'!B$4,"")))</x:f>
        <x:v>3</x:v>
      </x:c>
      <x:c r="O7" s="10" t="n">
        <x:f>IF(M7="Low",'工数標準'!C$2,IF(M7="Mid",'工数標準'!C$3,IF(M7="High",'工数標準'!C$4,"")))</x:f>
        <x:v>5</x:v>
      </x:c>
      <x:c r="P7" s="10" t="n">
        <x:f>IF(M7="Low",'工数標準'!D$2,IF(M7="Mid",'工数標準'!D$3,IF(M7="High",'工数標準'!D$4,"")))</x:f>
        <x:v>8</x:v>
      </x:c>
    </x:row>
    <x:row r="8" ht="84" customHeight="1">
      <x:c r="A8" s="6" t="str">
        <x:v>EX-07</x:v>
      </x:c>
      <x:c r="B8" s="6" t="str">
        <x:v>条件別に定義した画像確認</x:v>
      </x:c>
      <x:c r="C8" s="6" t="str">
        <x:v>可能</x:v>
      </x:c>
      <x:c r="D8" s="6" t="str">
        <x:v>あり</x:v>
      </x:c>
      <x:c r="E8" s="6" t="n">
        <x:v>1</x:v>
      </x:c>
      <x:c r="F8" s="6" t="n">
        <x:v>2</x:v>
      </x:c>
      <x:c r="G8" s="6" t="n">
        <x:v>2</x:v>
      </x:c>
      <x:c r="H8" s="6" t="n">
        <x:v>3</x:v>
      </x:c>
      <x:c r="I8" s="6" t="n">
        <x:v>1</x:v>
      </x:c>
      <x:c r="J8" s="6" t="str">
        <x:v>比較画像と許容差を仮置き。条件付きHigh。</x:v>
      </x:c>
      <x:c r="K8" s="6" t="n">
        <x:f>IF(COUNT(E8:I8)=5,SUM(E8:I8),"")</x:f>
        <x:v>9</x:v>
      </x:c>
      <x:c r="L8" s="6" t="str">
        <x:f>IF(C8="不可","確定可能",IF(OR(C8="不明",D8="未解決",COUNT(E8:I8)&lt;5),"要確認",IF(OR(D8="あり",H8&gt;1),"条件付き","確定可能")))</x:f>
        <x:v>条件付き</x:v>
      </x:c>
      <x:c r="M8" s="6" t="str">
        <x:f>IF(C8="不可","Impossible",IF(L8="要確認","",IF(OR(MAX(E8:I8)=3,K8&gt;='工数標準'!$B$9),"High",IF(K8&lt;='工数標準'!$B$8,"Low","Mid"))))</x:f>
        <x:v>High</x:v>
      </x:c>
      <x:c r="N8" s="9" t="n">
        <x:f>IF(M8="Low",'工数標準'!B$2,IF(M8="Mid",'工数標準'!B$3,IF(M8="High",'工数標準'!B$4,"")))</x:f>
        <x:v>8</x:v>
      </x:c>
      <x:c r="O8" s="9" t="n">
        <x:f>IF(M8="Low",'工数標準'!C$2,IF(M8="Mid",'工数標準'!C$3,IF(M8="High",'工数標準'!C$4,"")))</x:f>
        <x:v>16</x:v>
      </x:c>
      <x:c r="P8" s="9" t="n">
        <x:f>IF(M8="Low",'工数標準'!D$2,IF(M8="Mid",'工数標準'!D$3,IF(M8="High",'工数標準'!D$4,"")))</x:f>
        <x:v>24</x:v>
      </x:c>
    </x:row>
    <x:row r="9" ht="84" customHeight="1">
      <x:c r="A9" s="3" t="str">
        <x:v>EX-08</x:v>
      </x:c>
      <x:c r="B9" s="3" t="str">
        <x:v>見やすさを確認</x:v>
      </x:c>
      <x:c r="C9" s="3" t="str">
        <x:v>不明</x:v>
      </x:c>
      <x:c r="D9" s="3" t="str">
        <x:v>未解決</x:v>
      </x:c>
      <x:c r="E9" s="3" t="n">
        <x:v>1</x:v>
      </x:c>
      <x:c r="F9" s="3"/>
      <x:c r="G9" s="3"/>
      <x:c r="H9" s="3"/>
      <x:c r="I9" s="3" t="n">
        <x:v>1</x:v>
      </x:c>
      <x:c r="J9" s="3" t="str">
        <x:v>合否の基準も代替指標も未提示。要確認。</x:v>
      </x:c>
      <x:c r="K9" s="3" t="str">
        <x:f>IF(COUNT(E9:I9)=5,SUM(E9:I9),"")</x:f>
      </x:c>
      <x:c r="L9" s="3" t="str">
        <x:f>IF(C9="不可","確定可能",IF(OR(C9="不明",D9="未解決",COUNT(E9:I9)&lt;5),"要確認",IF(OR(D9="あり",H9&gt;1),"条件付き","確定可能")))</x:f>
        <x:v>要確認</x:v>
      </x:c>
      <x:c r="M9" s="3" t="str">
        <x:f>IF(C9="不可","Impossible",IF(L9="要確認","",IF(OR(MAX(E9:I9)=3,K9&gt;='工数標準'!$B$9),"High",IF(K9&lt;='工数標準'!$B$8,"Low","Mid"))))</x:f>
      </x:c>
      <x:c r="N9" s="10" t="str">
        <x:f>IF(M9="Low",'工数標準'!B$2,IF(M9="Mid",'工数標準'!B$3,IF(M9="High",'工数標準'!B$4,"")))</x:f>
      </x:c>
      <x:c r="O9" s="10" t="str">
        <x:f>IF(M9="Low",'工数標準'!C$2,IF(M9="Mid",'工数標準'!C$3,IF(M9="High",'工数標準'!C$4,"")))</x:f>
      </x:c>
      <x:c r="P9" s="10" t="str">
        <x:f>IF(M9="Low",'工数標準'!D$2,IF(M9="Mid",'工数標準'!D$3,IF(M9="High",'工数標準'!D$4,"")))</x:f>
      </x:c>
    </x:row>
    <x:row r="10" ht="84" customHeight="1">
      <x:c r="A10" s="6" t="str">
        <x:v>EX-09</x:v>
      </x:c>
      <x:c r="B10" s="6" t="str">
        <x:v>権限のない外部台帳の一致</x:v>
      </x:c>
      <x:c r="C10" s="6" t="str">
        <x:v>不可</x:v>
      </x:c>
      <x:c r="D10" s="6" t="str">
        <x:v>なし</x:v>
      </x:c>
      <x:c r="E10" s="6"/>
      <x:c r="F10" s="6"/>
      <x:c r="G10" s="6"/>
      <x:c r="H10" s="6"/>
      <x:c r="I10" s="6"/>
      <x:c r="J10" s="6" t="str">
        <x:v>台帳閲覧・API・代理確認の全手段が合意範囲で不可と確認済。Impossible。</x:v>
      </x:c>
      <x:c r="K10" s="6" t="str">
        <x:f>IF(COUNT(E10:I10)=5,SUM(E10:I10),"")</x:f>
      </x:c>
      <x:c r="L10" s="6" t="str">
        <x:f>IF(C10="不可","確定可能",IF(OR(C10="不明",D10="未解決",COUNT(E10:I10)&lt;5),"要確認",IF(OR(D10="あり",H10&gt;1),"条件付き","確定可能")))</x:f>
        <x:v>確定可能</x:v>
      </x:c>
      <x:c r="M10" s="6" t="str">
        <x:f>IF(C10="不可","Impossible",IF(L10="要確認","",IF(OR(MAX(E10:I10)=3,K10&gt;='工数標準'!$B$9),"High",IF(K10&lt;='工数標準'!$B$8,"Low","Mid"))))</x:f>
        <x:v>Impossible</x:v>
      </x:c>
      <x:c r="N10" s="9" t="str">
        <x:f>IF(M10="Low",'工数標準'!B$2,IF(M10="Mid",'工数標準'!B$3,IF(M10="High",'工数標準'!B$4,"")))</x:f>
      </x:c>
      <x:c r="O10" s="9" t="str">
        <x:f>IF(M10="Low",'工数標準'!C$2,IF(M10="Mid",'工数標準'!C$3,IF(M10="High",'工数標準'!C$4,"")))</x:f>
      </x:c>
      <x:c r="P10" s="9" t="str">
        <x:f>IF(M10="Low",'工数標準'!D$2,IF(M10="Mid",'工数標準'!D$3,IF(M10="High",'工数標準'!D$4,"")))</x:f>
      </x:c>
    </x:row>
    <x:row r="11" ht="84" customHeight="1">
      <x:c r="A11" s="3" t="str">
        <x:v>EX-10</x:v>
      </x:c>
      <x:c r="B11" s="3" t="str">
        <x:v>ダウンロード完了のみ</x:v>
      </x:c>
      <x:c r="C11" s="3" t="str">
        <x:v>可能</x:v>
      </x:c>
      <x:c r="D11" s="3" t="str">
        <x:v>なし</x:v>
      </x:c>
      <x:c r="E11" s="3" t="n">
        <x:v>2</x:v>
      </x:c>
      <x:c r="F11" s="3" t="n">
        <x:v>1</x:v>
      </x:c>
      <x:c r="G11" s="3" t="n">
        <x:v>1</x:v>
      </x:c>
      <x:c r="H11" s="3" t="n">
        <x:v>1</x:v>
      </x:c>
      <x:c r="I11" s="3" t="n">
        <x:v>1</x:v>
      </x:c>
      <x:c r="J11" s="3" t="str">
        <x:v>内容の照合を含めない範囲で確定。</x:v>
      </x:c>
      <x:c r="K11" s="3" t="n">
        <x:f>IF(COUNT(E11:I11)=5,SUM(E11:I11),"")</x:f>
        <x:v>6</x:v>
      </x:c>
      <x:c r="L11" s="3" t="str">
        <x:f>IF(C11="不可","確定可能",IF(OR(C11="不明",D11="未解決",COUNT(E11:I11)&lt;5),"要確認",IF(OR(D11="あり",H11&gt;1),"条件付き","確定可能")))</x:f>
        <x:v>確定可能</x:v>
      </x:c>
      <x:c r="M11" s="3" t="str">
        <x:f>IF(C11="不可","Impossible",IF(L11="要確認","",IF(OR(MAX(E11:I11)=3,K11&gt;='工数標準'!$B$9),"High",IF(K11&lt;='工数標準'!$B$8,"Low","Mid"))))</x:f>
        <x:v>Mid</x:v>
      </x:c>
      <x:c r="N11" s="10" t="n">
        <x:f>IF(M11="Low",'工数標準'!B$2,IF(M11="Mid",'工数標準'!B$3,IF(M11="High",'工数標準'!B$4,"")))</x:f>
        <x:v>3</x:v>
      </x:c>
      <x:c r="O11" s="10" t="n">
        <x:f>IF(M11="Low",'工数標準'!C$2,IF(M11="Mid",'工数標準'!C$3,IF(M11="High",'工数標準'!C$4,"")))</x:f>
        <x:v>5</x:v>
      </x:c>
      <x:c r="P11" s="10" t="n">
        <x:f>IF(M11="Low",'工数標準'!D$2,IF(M11="Mid",'工数標準'!D$3,IF(M11="High",'工数標準'!D$4,"")))</x:f>
        <x:v>8</x:v>
      </x:c>
    </x:row>
    <x:row r="12" ht="84" customHeight="1">
      <x:c r="A12" s="6" t="str">
        <x:v>EX-11</x:v>
      </x:c>
      <x:c r="B12" s="6" t="str">
        <x:v>独自の帳票照合処理</x:v>
      </x:c>
      <x:c r="C12" s="6" t="str">
        <x:v>可能</x:v>
      </x:c>
      <x:c r="D12" s="6" t="str">
        <x:v>なし</x:v>
      </x:c>
      <x:c r="E12" s="6" t="n">
        <x:v>1</x:v>
      </x:c>
      <x:c r="F12" s="6" t="n">
        <x:v>3</x:v>
      </x:c>
      <x:c r="G12" s="6" t="n">
        <x:v>3</x:v>
      </x:c>
      <x:c r="H12" s="6" t="n">
        <x:v>1</x:v>
      </x:c>
      <x:c r="I12" s="6" t="n">
        <x:v>2</x:v>
      </x:c>
      <x:c r="J12" s="6" t="str">
        <x:v>実現方法はPoCで確認済。共通解析部品の新規開発は別。</x:v>
      </x:c>
      <x:c r="K12" s="6" t="n">
        <x:f>IF(COUNT(E12:I12)=5,SUM(E12:I12),"")</x:f>
        <x:v>10</x:v>
      </x:c>
      <x:c r="L12" s="6" t="str">
        <x:f>IF(C12="不可","確定可能",IF(OR(C12="不明",D12="未解決",COUNT(E12:I12)&lt;5),"要確認",IF(OR(D12="あり",H12&gt;1),"条件付き","確定可能")))</x:f>
        <x:v>確定可能</x:v>
      </x:c>
      <x:c r="M12" s="6" t="str">
        <x:f>IF(C12="不可","Impossible",IF(L12="要確認","",IF(OR(MAX(E12:I12)=3,K12&gt;='工数標準'!$B$9),"High",IF(K12&lt;='工数標準'!$B$8,"Low","Mid"))))</x:f>
        <x:v>High</x:v>
      </x:c>
      <x:c r="N12" s="9" t="n">
        <x:f>IF(M12="Low",'工数標準'!B$2,IF(M12="Mid",'工数標準'!B$3,IF(M12="High",'工数標準'!B$4,"")))</x:f>
        <x:v>8</x:v>
      </x:c>
      <x:c r="O12" s="9" t="n">
        <x:f>IF(M12="Low",'工数標準'!C$2,IF(M12="Mid",'工数標準'!C$3,IF(M12="High",'工数標準'!C$4,"")))</x:f>
        <x:v>16</x:v>
      </x:c>
      <x:c r="P12" s="9" t="n">
        <x:f>IF(M12="Low",'工数標準'!D$2,IF(M12="Mid",'工数標準'!D$3,IF(M12="High",'工数標準'!D$4,"")))</x:f>
        <x:v>24</x:v>
      </x:c>
    </x:row>
    <x:row r="13" ht="84" customHeight="1">
      <x:c r="A13" s="3" t="str">
        <x:v>EX-12</x:v>
      </x:c>
      <x:c r="B13" s="3" t="str">
        <x:v>メール取得方法が未提示</x:v>
      </x:c>
      <x:c r="C13" s="3" t="str">
        <x:v>不明</x:v>
      </x:c>
      <x:c r="D13" s="3" t="str">
        <x:v>未解決</x:v>
      </x:c>
      <x:c r="E13" s="3" t="n">
        <x:v>2</x:v>
      </x:c>
      <x:c r="F13" s="3" t="n">
        <x:v>2</x:v>
      </x:c>
      <x:c r="G13" s="3"/>
      <x:c r="H13" s="3" t="n">
        <x:v>3</x:v>
      </x:c>
      <x:c r="I13" s="3" t="n">
        <x:v>2</x:v>
      </x:c>
      <x:c r="J13" s="3" t="str">
        <x:v>不明を実現不可と判定しない。</x:v>
      </x:c>
      <x:c r="K13" s="3" t="str">
        <x:f>IF(COUNT(E13:I13)=5,SUM(E13:I13),"")</x:f>
      </x:c>
      <x:c r="L13" s="3" t="str">
        <x:f>IF(C13="不可","確定可能",IF(OR(C13="不明",D13="未解決",COUNT(E13:I13)&lt;5),"要確認",IF(OR(D13="あり",H13&gt;1),"条件付き","確定可能")))</x:f>
        <x:v>要確認</x:v>
      </x:c>
      <x:c r="M13" s="3" t="str">
        <x:f>IF(C13="不可","Impossible",IF(L13="要確認","",IF(OR(MAX(E13:I13)=3,K13&gt;='工数標準'!$B$9),"High",IF(K13&lt;='工数標準'!$B$8,"Low","Mid"))))</x:f>
      </x:c>
      <x:c r="N13" s="10" t="str">
        <x:f>IF(M13="Low",'工数標準'!B$2,IF(M13="Mid",'工数標準'!B$3,IF(M13="High",'工数標準'!B$4,"")))</x:f>
      </x:c>
      <x:c r="O13" s="10" t="str">
        <x:f>IF(M13="Low",'工数標準'!C$2,IF(M13="Mid",'工数標準'!C$3,IF(M13="High",'工数標準'!C$4,"")))</x:f>
      </x:c>
      <x:c r="P13" s="10" t="str">
        <x:f>IF(M13="Low",'工数標準'!D$2,IF(M13="Mid",'工数標準'!D$3,IF(M13="High",'工数標準'!D$4,"")))</x:f>
      </x:c>
    </x:row>
  </x:sheetData>
  <x:dataValidations count="1">
    <x:dataValidation type="whole" operator="between" sqref="E2:I13">
      <x:formula1>1</x:formula1>
      <x:formula2>3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4.440000534057617" hidden="0" customWidth="1"/>
    <x:col min="3" max="3" width="127.77999877929688" hidden="0" customWidth="1"/>
  </x:cols>
  <x:sheetData>
    <x:row r="1" ht="34" customHeight="1">
      <x:c r="A1" s="5" t="str">
        <x:v>仕様ID</x:v>
      </x:c>
      <x:c r="B1" s="5" t="str">
        <x:v>出力項目・ルール</x:v>
      </x:c>
      <x:c r="C1" s="5" t="str">
        <x:v>必須内容・形式</x:v>
      </x:c>
    </x:row>
    <x:row r="2" ht="84" customHeight="1">
      <x:c r="A2" s="6" t="str">
        <x:v>OUT-01</x:v>
      </x:c>
      <x:c r="B2" s="6" t="str">
        <x:v>出典</x:v>
      </x:c>
      <x:c r="C2" s="6" t="str">
        <x:v>source_file、sheet、cell_range、original_id、original_text。原項目と整理後ケースの対応を追跡できること。</x:v>
      </x:c>
    </x:row>
    <x:row r="3" ht="84" customHeight="1">
      <x:c r="A3" s="3" t="str">
        <x:v>OUT-02</x:v>
      </x:c>
      <x:c r="B3" s="3" t="str">
        <x:v>実装単位</x:v>
      </x:c>
      <x:c r="C3" s="3" t="str">
        <x:v>case_id、parent_ids、目的、前提、操作、期待結果、データ、後処理。統合・分解・重複候補の理由を記録。</x:v>
      </x:c>
    </x:row>
    <x:row r="4" ht="84" customHeight="1">
      <x:c r="A4" s="6" t="str">
        <x:v>OUT-03</x:v>
      </x:c>
      <x:c r="B4" s="6" t="str">
        <x:v>対象範囲</x:v>
      </x:c>
      <x:c r="C4" s="6" t="str">
        <x:v>対象内／別見積／対象外。部分自動化の場合は自動と手動を分離し、元項目全体を自動化済と扱わない。</x:v>
      </x:c>
    </x:row>
    <x:row r="5" ht="84" customHeight="1">
      <x:c r="A5" s="3" t="str">
        <x:v>OUT-04</x:v>
      </x:c>
      <x:c r="B5" s="3" t="str">
        <x:v>実現可否</x:v>
      </x:c>
      <x:c r="C5" s="3" t="str">
        <x:v>可能／不可／不明。不可は確認済みの根拠を必須とする。不明なら質問を出す。</x:v>
      </x:c>
    </x:row>
    <x:row r="6" ht="84" customHeight="1">
      <x:c r="A6" s="6" t="str">
        <x:v>OUT-05</x:v>
      </x:c>
      <x:c r="B6" s="6" t="str">
        <x:v>5軸評価</x:v>
      </x:c>
      <x:c r="C6" s="6" t="str">
        <x:v>AX-01〜05の1〜3点、点数ごとの理由、根拠セル。未採点はnull。合計・最大点・適用RULEを保存。</x:v>
      </x:c>
    </x:row>
    <x:row r="7" ht="84" customHeight="1">
      <x:c r="A7" s="3" t="str">
        <x:v>OUT-06</x:v>
      </x:c>
      <x:c r="B7" s="3" t="str">
        <x:v>難易度・状態</x:v>
      </x:c>
      <x:c r="C7" s="3" t="str">
        <x:v>difficulty：Low／Mid／High／Impossible／null。estimate_status：確定可能／条件付き／要確認。nullは未判定で第5の難易度ではない。</x:v>
      </x:c>
    </x:row>
    <x:row r="8" ht="84" customHeight="1">
      <x:c r="A8" s="6" t="str">
        <x:v>OUT-07</x:v>
      </x:c>
      <x:c r="B8" s="6" t="str">
        <x:v>工数</x:v>
      </x:c>
      <x:c r="C8" s="6" t="str">
        <x:v>unit：person_hour。下限・標準・上限、基準版、参照セル。Impossible・要確認はnull。0人時へ変換しない。</x:v>
      </x:c>
    </x:row>
    <x:row r="9" ht="84" customHeight="1">
      <x:c r="A9" s="3" t="str">
        <x:v>OUT-08</x:v>
      </x:c>
      <x:c r="B9" s="3" t="str">
        <x:v>Impossibleの理由</x:v>
      </x:c>
      <x:c r="C9" s="3" t="str">
        <x:v>実現できない操作/判定、制約、確認した根拠、解消条件、部分自動化・手動代替。制約変更時は再判定。</x:v>
      </x:c>
    </x:row>
    <x:row r="10" ht="84" customHeight="1">
      <x:c r="A10" s="6" t="str">
        <x:v>OUT-09</x:v>
      </x:c>
      <x:c r="B10" s="6" t="str">
        <x:v>不明点と仮定</x:v>
      </x:c>
      <x:c r="C10" s="6" t="str">
        <x:v>質問ID、確認事項、仮定、影響するケース、仮定が外れた場合の再見積条件。あいまいさを勝手に事実へ置換しない。</x:v>
      </x:c>
    </x:row>
    <x:row r="11" ht="84" customHeight="1">
      <x:c r="A11" s="3" t="str">
        <x:v>OUT-10</x:v>
      </x:c>
      <x:c r="B11" s="3" t="str">
        <x:v>共通・追加工数</x:v>
      </x:c>
      <x:c r="C11" s="3" t="str">
        <x:v>部品/作業ID、内容、対象ケース、下限・標準・上限、根拠。共通作業を1箇所だけで所有し二重計上を防ぐ。</x:v>
      </x:c>
    </x:row>
    <x:row r="12" ht="84" customHeight="1">
      <x:c r="A12" s="6" t="str">
        <x:v>OUT-11</x:v>
      </x:c>
      <x:c r="B12" s="6" t="str">
        <x:v>個別補正</x:v>
      </x:c>
      <x:c r="C12" s="6" t="str">
        <x:v>基準レンジ、採用レンジ、増減理由、作業内訳、確認者。範囲外の補正や根拠のないAI削減率を自動適用しない。</x:v>
      </x:c>
    </x:row>
    <x:row r="13" ht="84" customHeight="1">
      <x:c r="A13" s="3" t="str">
        <x:v>OUT-12</x:v>
      </x:c>
      <x:c r="B13" s="3" t="str">
        <x:v>集計</x:v>
      </x:c>
      <x:c r="C13" s="3" t="str">
        <x:v>元項目数、整理後ケース数、難易度別件数、条件付き/要確認/Impossible/範囲外件数、個別・共通・追加の小計と総計。未算定があれば暫定総計と明示。</x:v>
      </x:c>
    </x:row>
    <x:row r="14" ht="84" customHeight="1">
      <x:c r="A14" s="6" t="str">
        <x:v>OUT-13</x:v>
      </x:c>
      <x:c r="B14" s="6" t="str">
        <x:v>再現性</x:v>
      </x:c>
      <x:c r="C14" s="6" t="str">
        <x:v>基準版、入力ファイル識別情報、モデル名、プロンプト/Skill版、実行日時、上書き内容を保存。</x:v>
      </x:c>
    </x:row>
    <x:row r="15" ht="84" customHeight="1">
      <x:c r="A15" s="3" t="str">
        <x:v>OUT-14</x:v>
      </x:c>
      <x:c r="B15" s="3" t="str">
        <x:v>検証</x:v>
      </x:c>
      <x:c r="C15" s="3" t="str">
        <x:v>元項目の処遇漏れ、出典切れ、二重計上、必須理由の欠落、下限≦標準≦上限、工数標準の数値妥当性を機械検証。エラーは報告し、無視して確定しない。</x:v>
      </x:c>
    </x:row>
  </x:sheetData>
  <x:pageMargins left="0.7" right="0.7" top="0.75" bottom="0.75" header="0.3" footer="0.3"/>
</x:worksheet>
</file>